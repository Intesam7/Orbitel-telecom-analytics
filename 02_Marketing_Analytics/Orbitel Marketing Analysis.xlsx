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rsonal\Semester 8\Applications of Business Analytics\"/>
    </mc:Choice>
  </mc:AlternateContent>
  <bookViews>
    <workbookView xWindow="0" yWindow="0" windowWidth="19200" windowHeight="6930" tabRatio="500" firstSheet="4" activeTab="6"/>
  </bookViews>
  <sheets>
    <sheet name="Assumptions" sheetId="1" r:id="rId1"/>
    <sheet name="Monthly Model" sheetId="2" r:id="rId2"/>
    <sheet name="Scenario Analysis" sheetId="3" r:id="rId3"/>
    <sheet name="Price Sensitivity" sheetId="4" r:id="rId4"/>
    <sheet name="Breakeven Analysis" sheetId="5" r:id="rId5"/>
    <sheet name="Charts" sheetId="6" r:id="rId6"/>
    <sheet name="Insights &amp; Recommendations" sheetId="7" r:id="rId7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0" i="2" l="1"/>
  <c r="M7" i="5"/>
  <c r="L7" i="5"/>
  <c r="K7" i="5"/>
  <c r="J7" i="5"/>
  <c r="I7" i="5"/>
  <c r="H7" i="5"/>
  <c r="G7" i="5"/>
  <c r="F7" i="5"/>
  <c r="E7" i="5"/>
  <c r="D7" i="5"/>
  <c r="C7" i="5"/>
  <c r="B7" i="5"/>
  <c r="G15" i="4"/>
  <c r="F15" i="4"/>
  <c r="E15" i="4"/>
  <c r="H15" i="4" s="1"/>
  <c r="D15" i="4"/>
  <c r="C15" i="4"/>
  <c r="B15" i="4"/>
  <c r="G14" i="4"/>
  <c r="F14" i="4"/>
  <c r="E14" i="4"/>
  <c r="D14" i="4"/>
  <c r="C14" i="4"/>
  <c r="B14" i="4"/>
  <c r="G13" i="4"/>
  <c r="F13" i="4"/>
  <c r="E13" i="4"/>
  <c r="H13" i="4" s="1"/>
  <c r="D13" i="4"/>
  <c r="C13" i="4"/>
  <c r="B13" i="4"/>
  <c r="G12" i="4"/>
  <c r="F12" i="4"/>
  <c r="E12" i="4"/>
  <c r="D12" i="4"/>
  <c r="C12" i="4"/>
  <c r="B12" i="4"/>
  <c r="G11" i="4"/>
  <c r="F11" i="4"/>
  <c r="E11" i="4"/>
  <c r="H11" i="4" s="1"/>
  <c r="D11" i="4"/>
  <c r="C11" i="4"/>
  <c r="B11" i="4"/>
  <c r="G10" i="4"/>
  <c r="F10" i="4"/>
  <c r="E10" i="4"/>
  <c r="D10" i="4"/>
  <c r="C10" i="4"/>
  <c r="B10" i="4"/>
  <c r="G9" i="4"/>
  <c r="F9" i="4"/>
  <c r="E9" i="4"/>
  <c r="H9" i="4" s="1"/>
  <c r="D9" i="4"/>
  <c r="C9" i="4"/>
  <c r="B9" i="4"/>
  <c r="G8" i="4"/>
  <c r="F8" i="4"/>
  <c r="E8" i="4"/>
  <c r="D8" i="4"/>
  <c r="C8" i="4"/>
  <c r="B8" i="4"/>
  <c r="G7" i="4"/>
  <c r="F7" i="4"/>
  <c r="E7" i="4"/>
  <c r="H7" i="4" s="1"/>
  <c r="D7" i="4"/>
  <c r="C7" i="4"/>
  <c r="B7" i="4"/>
  <c r="G6" i="4"/>
  <c r="F6" i="4"/>
  <c r="E6" i="4"/>
  <c r="D6" i="4"/>
  <c r="C6" i="4"/>
  <c r="B6" i="4"/>
  <c r="G5" i="4"/>
  <c r="F5" i="4"/>
  <c r="E5" i="4"/>
  <c r="H5" i="4" s="1"/>
  <c r="D5" i="4"/>
  <c r="C5" i="4"/>
  <c r="B5" i="4"/>
  <c r="D16" i="3"/>
  <c r="C13" i="3"/>
  <c r="B13" i="3"/>
  <c r="D13" i="3" s="1"/>
  <c r="B12" i="3"/>
  <c r="B11" i="3"/>
  <c r="B10" i="3"/>
  <c r="B9" i="3"/>
  <c r="B8" i="3"/>
  <c r="D7" i="3"/>
  <c r="B7" i="3"/>
  <c r="C7" i="3" s="1"/>
  <c r="B6" i="3"/>
  <c r="D5" i="3"/>
  <c r="B5" i="3"/>
  <c r="C29" i="2"/>
  <c r="C32" i="2" s="1"/>
  <c r="C28" i="2"/>
  <c r="D28" i="2" s="1"/>
  <c r="B28" i="2"/>
  <c r="B31" i="2" s="1"/>
  <c r="E22" i="2"/>
  <c r="M11" i="2"/>
  <c r="B11" i="2"/>
  <c r="B38" i="1"/>
  <c r="D32" i="1"/>
  <c r="C32" i="1"/>
  <c r="B17" i="2" s="1"/>
  <c r="B32" i="1"/>
  <c r="B6" i="2" s="1"/>
  <c r="B7" i="2" s="1"/>
  <c r="D31" i="1"/>
  <c r="C31" i="1"/>
  <c r="B31" i="1"/>
  <c r="B17" i="1"/>
  <c r="B11" i="1"/>
  <c r="M22" i="2" s="1"/>
  <c r="B10" i="1"/>
  <c r="B9" i="1"/>
  <c r="B10" i="2" l="1"/>
  <c r="E11" i="2"/>
  <c r="I22" i="2"/>
  <c r="I11" i="4"/>
  <c r="G11" i="2"/>
  <c r="K44" i="2"/>
  <c r="G44" i="2"/>
  <c r="C44" i="2"/>
  <c r="J44" i="2"/>
  <c r="F44" i="2"/>
  <c r="B44" i="2"/>
  <c r="I44" i="2"/>
  <c r="L33" i="2"/>
  <c r="H33" i="2"/>
  <c r="D33" i="2"/>
  <c r="L22" i="2"/>
  <c r="H22" i="2"/>
  <c r="D22" i="2"/>
  <c r="L11" i="2"/>
  <c r="H11" i="2"/>
  <c r="D11" i="2"/>
  <c r="M44" i="2"/>
  <c r="E44" i="2"/>
  <c r="J33" i="2"/>
  <c r="F33" i="2"/>
  <c r="B33" i="2"/>
  <c r="J22" i="2"/>
  <c r="F22" i="2"/>
  <c r="B22" i="2"/>
  <c r="D44" i="2"/>
  <c r="I33" i="2"/>
  <c r="G22" i="2"/>
  <c r="I11" i="2"/>
  <c r="C11" i="2"/>
  <c r="G33" i="2"/>
  <c r="L44" i="2"/>
  <c r="M33" i="2"/>
  <c r="E33" i="2"/>
  <c r="K22" i="2"/>
  <c r="C22" i="2"/>
  <c r="K11" i="2"/>
  <c r="F11" i="2"/>
  <c r="H44" i="2"/>
  <c r="K33" i="2"/>
  <c r="C33" i="2"/>
  <c r="M8" i="5"/>
  <c r="I8" i="5"/>
  <c r="E8" i="5"/>
  <c r="K49" i="2"/>
  <c r="G49" i="2"/>
  <c r="C49" i="2"/>
  <c r="L8" i="5"/>
  <c r="H8" i="5"/>
  <c r="H9" i="5" s="1"/>
  <c r="D8" i="5"/>
  <c r="D9" i="5" s="1"/>
  <c r="J49" i="2"/>
  <c r="F49" i="2"/>
  <c r="B49" i="2"/>
  <c r="F8" i="5"/>
  <c r="F9" i="5" s="1"/>
  <c r="M49" i="2"/>
  <c r="E49" i="2"/>
  <c r="K8" i="5"/>
  <c r="K9" i="5" s="1"/>
  <c r="C8" i="5"/>
  <c r="C9" i="5" s="1"/>
  <c r="J8" i="5"/>
  <c r="B8" i="5"/>
  <c r="I49" i="2"/>
  <c r="G8" i="5"/>
  <c r="H49" i="2"/>
  <c r="D49" i="2"/>
  <c r="L49" i="2"/>
  <c r="B39" i="2"/>
  <c r="B8" i="2"/>
  <c r="C6" i="2"/>
  <c r="B20" i="2"/>
  <c r="B23" i="2" s="1"/>
  <c r="B19" i="2"/>
  <c r="B18" i="2"/>
  <c r="B21" i="2" s="1"/>
  <c r="C17" i="2"/>
  <c r="B9" i="2"/>
  <c r="J11" i="2"/>
  <c r="C31" i="2"/>
  <c r="B20" i="3"/>
  <c r="D11" i="3"/>
  <c r="D18" i="3" s="1"/>
  <c r="C11" i="3"/>
  <c r="C18" i="3" s="1"/>
  <c r="B34" i="2"/>
  <c r="B18" i="3"/>
  <c r="I5" i="4"/>
  <c r="I8" i="4"/>
  <c r="H8" i="4"/>
  <c r="I9" i="4"/>
  <c r="I12" i="4"/>
  <c r="H12" i="4"/>
  <c r="J9" i="5"/>
  <c r="D31" i="2"/>
  <c r="D34" i="2" s="1"/>
  <c r="D30" i="2"/>
  <c r="D29" i="2"/>
  <c r="D32" i="2" s="1"/>
  <c r="C30" i="2"/>
  <c r="J9" i="4"/>
  <c r="K9" i="4" s="1"/>
  <c r="G9" i="5"/>
  <c r="J5" i="4"/>
  <c r="K5" i="4" s="1"/>
  <c r="I14" i="4"/>
  <c r="H14" i="4"/>
  <c r="E28" i="2"/>
  <c r="I6" i="4"/>
  <c r="H6" i="4"/>
  <c r="I7" i="4"/>
  <c r="J7" i="4" s="1"/>
  <c r="K7" i="4" s="1"/>
  <c r="I10" i="4"/>
  <c r="H10" i="4"/>
  <c r="J11" i="4"/>
  <c r="K11" i="4" s="1"/>
  <c r="I13" i="4"/>
  <c r="J13" i="4" s="1"/>
  <c r="K13" i="4" s="1"/>
  <c r="I15" i="4"/>
  <c r="J15" i="4" s="1"/>
  <c r="K15" i="4" s="1"/>
  <c r="E9" i="5"/>
  <c r="I9" i="5"/>
  <c r="M9" i="5"/>
  <c r="B29" i="2"/>
  <c r="B32" i="2" s="1"/>
  <c r="B30" i="2"/>
  <c r="D10" i="3"/>
  <c r="C10" i="3"/>
  <c r="D8" i="3"/>
  <c r="D17" i="3" s="1"/>
  <c r="D19" i="3" s="1"/>
  <c r="B17" i="3"/>
  <c r="C8" i="3"/>
  <c r="C17" i="3" s="1"/>
  <c r="L9" i="5"/>
  <c r="B9" i="5"/>
  <c r="B21" i="3"/>
  <c r="C5" i="3"/>
  <c r="B16" i="3"/>
  <c r="B19" i="3" s="1"/>
  <c r="D35" i="2" l="1"/>
  <c r="D36" i="2"/>
  <c r="J12" i="4"/>
  <c r="K12" i="4"/>
  <c r="J14" i="4"/>
  <c r="K14" i="4"/>
  <c r="C21" i="3"/>
  <c r="C16" i="3"/>
  <c r="C19" i="3" s="1"/>
  <c r="C20" i="3"/>
  <c r="B35" i="2"/>
  <c r="B36" i="2" s="1"/>
  <c r="J6" i="4"/>
  <c r="K6" i="4" s="1"/>
  <c r="C35" i="2"/>
  <c r="C36" i="2" s="1"/>
  <c r="B23" i="3"/>
  <c r="B22" i="3"/>
  <c r="B24" i="3" s="1"/>
  <c r="D17" i="2"/>
  <c r="C19" i="2"/>
  <c r="C20" i="2"/>
  <c r="C23" i="2" s="1"/>
  <c r="C18" i="2"/>
  <c r="C21" i="2" s="1"/>
  <c r="C39" i="2"/>
  <c r="D6" i="2"/>
  <c r="C7" i="2"/>
  <c r="C9" i="2"/>
  <c r="C8" i="2"/>
  <c r="B43" i="2"/>
  <c r="F28" i="2"/>
  <c r="E30" i="2"/>
  <c r="E31" i="2"/>
  <c r="E29" i="2"/>
  <c r="E32" i="2" s="1"/>
  <c r="B25" i="2"/>
  <c r="B24" i="2"/>
  <c r="B42" i="2"/>
  <c r="B12" i="2"/>
  <c r="B13" i="2" s="1"/>
  <c r="B14" i="2" s="1"/>
  <c r="J10" i="4"/>
  <c r="K10" i="4" s="1"/>
  <c r="J8" i="4"/>
  <c r="K8" i="4"/>
  <c r="D21" i="3"/>
  <c r="C34" i="2"/>
  <c r="B41" i="2"/>
  <c r="D20" i="3"/>
  <c r="B40" i="2"/>
  <c r="C40" i="2" l="1"/>
  <c r="C10" i="2"/>
  <c r="C43" i="2" s="1"/>
  <c r="B46" i="2"/>
  <c r="B45" i="2"/>
  <c r="D9" i="2"/>
  <c r="D8" i="2"/>
  <c r="D7" i="2"/>
  <c r="E6" i="2"/>
  <c r="D39" i="2"/>
  <c r="D22" i="3"/>
  <c r="D24" i="3" s="1"/>
  <c r="C41" i="2"/>
  <c r="D20" i="2"/>
  <c r="D23" i="2" s="1"/>
  <c r="D19" i="2"/>
  <c r="D18" i="2"/>
  <c r="D21" i="2" s="1"/>
  <c r="E17" i="2"/>
  <c r="E34" i="2"/>
  <c r="E35" i="2" s="1"/>
  <c r="E36" i="2" s="1"/>
  <c r="C25" i="2"/>
  <c r="C24" i="2"/>
  <c r="F31" i="2"/>
  <c r="F30" i="2"/>
  <c r="F29" i="2"/>
  <c r="F32" i="2" s="1"/>
  <c r="G28" i="2"/>
  <c r="C42" i="2"/>
  <c r="C45" i="2" s="1"/>
  <c r="C12" i="2"/>
  <c r="C13" i="2" s="1"/>
  <c r="C14" i="2" s="1"/>
  <c r="C22" i="3"/>
  <c r="C24" i="3" s="1"/>
  <c r="D24" i="2" l="1"/>
  <c r="D25" i="2" s="1"/>
  <c r="B48" i="2"/>
  <c r="B5" i="5"/>
  <c r="B6" i="5" s="1"/>
  <c r="B47" i="2"/>
  <c r="F34" i="2"/>
  <c r="F35" i="2" s="1"/>
  <c r="F36" i="2" s="1"/>
  <c r="F17" i="2"/>
  <c r="E19" i="2"/>
  <c r="E18" i="2"/>
  <c r="E21" i="2" s="1"/>
  <c r="E20" i="2"/>
  <c r="E23" i="2" s="1"/>
  <c r="E39" i="2"/>
  <c r="E8" i="2"/>
  <c r="E7" i="2"/>
  <c r="F6" i="2"/>
  <c r="E9" i="2"/>
  <c r="C46" i="2"/>
  <c r="C5" i="5" s="1"/>
  <c r="D41" i="2"/>
  <c r="D42" i="2"/>
  <c r="C23" i="3"/>
  <c r="H28" i="2"/>
  <c r="G31" i="2"/>
  <c r="G34" i="2" s="1"/>
  <c r="G29" i="2"/>
  <c r="G32" i="2" s="1"/>
  <c r="G30" i="2"/>
  <c r="D23" i="3"/>
  <c r="D10" i="2"/>
  <c r="D43" i="2" s="1"/>
  <c r="D40" i="2"/>
  <c r="B10" i="5" l="1"/>
  <c r="B11" i="5" s="1"/>
  <c r="C6" i="5"/>
  <c r="H31" i="2"/>
  <c r="H34" i="2" s="1"/>
  <c r="H30" i="2"/>
  <c r="H29" i="2"/>
  <c r="H32" i="2" s="1"/>
  <c r="I28" i="2"/>
  <c r="C47" i="2"/>
  <c r="E40" i="2"/>
  <c r="E10" i="2"/>
  <c r="E43" i="2" s="1"/>
  <c r="G35" i="2"/>
  <c r="G36" i="2" s="1"/>
  <c r="E41" i="2"/>
  <c r="E13" i="2"/>
  <c r="E14" i="2" s="1"/>
  <c r="E24" i="2"/>
  <c r="E25" i="2"/>
  <c r="D12" i="2"/>
  <c r="D13" i="2" s="1"/>
  <c r="D14" i="2" s="1"/>
  <c r="F39" i="2"/>
  <c r="F9" i="2"/>
  <c r="F7" i="2"/>
  <c r="G6" i="2"/>
  <c r="F8" i="2"/>
  <c r="C48" i="2"/>
  <c r="D45" i="2"/>
  <c r="E42" i="2"/>
  <c r="E45" i="2" s="1"/>
  <c r="E12" i="2"/>
  <c r="F20" i="2"/>
  <c r="F19" i="2"/>
  <c r="F18" i="2"/>
  <c r="F21" i="2" s="1"/>
  <c r="G17" i="2"/>
  <c r="F40" i="2" l="1"/>
  <c r="F10" i="2"/>
  <c r="F43" i="2" s="1"/>
  <c r="E46" i="2"/>
  <c r="E5" i="5" s="1"/>
  <c r="H35" i="2"/>
  <c r="H36" i="2"/>
  <c r="F24" i="2"/>
  <c r="F25" i="2" s="1"/>
  <c r="D46" i="2"/>
  <c r="F42" i="2"/>
  <c r="F45" i="2" s="1"/>
  <c r="F12" i="2"/>
  <c r="F23" i="2"/>
  <c r="F41" i="2"/>
  <c r="F13" i="2"/>
  <c r="F14" i="2" s="1"/>
  <c r="J28" i="2"/>
  <c r="I31" i="2"/>
  <c r="I29" i="2"/>
  <c r="I32" i="2" s="1"/>
  <c r="I30" i="2"/>
  <c r="C10" i="5"/>
  <c r="C11" i="5" s="1"/>
  <c r="H17" i="2"/>
  <c r="G20" i="2"/>
  <c r="G23" i="2" s="1"/>
  <c r="G18" i="2"/>
  <c r="G21" i="2" s="1"/>
  <c r="G19" i="2"/>
  <c r="C50" i="2"/>
  <c r="D48" i="2"/>
  <c r="G39" i="2"/>
  <c r="H6" i="2"/>
  <c r="G8" i="2"/>
  <c r="G9" i="2"/>
  <c r="G7" i="2"/>
  <c r="G42" i="2" l="1"/>
  <c r="E48" i="2"/>
  <c r="D50" i="2"/>
  <c r="G41" i="2"/>
  <c r="H20" i="2"/>
  <c r="H19" i="2"/>
  <c r="H18" i="2"/>
  <c r="H21" i="2" s="1"/>
  <c r="I17" i="2"/>
  <c r="E47" i="2"/>
  <c r="I34" i="2"/>
  <c r="I35" i="2" s="1"/>
  <c r="I36" i="2" s="1"/>
  <c r="F47" i="2"/>
  <c r="F46" i="2"/>
  <c r="F5" i="5" s="1"/>
  <c r="D5" i="5"/>
  <c r="D6" i="5" s="1"/>
  <c r="D47" i="2"/>
  <c r="H9" i="2"/>
  <c r="H8" i="2"/>
  <c r="H7" i="2"/>
  <c r="H39" i="2"/>
  <c r="I6" i="2"/>
  <c r="G24" i="2"/>
  <c r="G25" i="2"/>
  <c r="G40" i="2"/>
  <c r="G10" i="2"/>
  <c r="G43" i="2" s="1"/>
  <c r="J31" i="2"/>
  <c r="J30" i="2"/>
  <c r="J29" i="2"/>
  <c r="J32" i="2" s="1"/>
  <c r="K28" i="2"/>
  <c r="H23" i="2" l="1"/>
  <c r="G12" i="2"/>
  <c r="G13" i="2" s="1"/>
  <c r="G14" i="2" s="1"/>
  <c r="J35" i="2"/>
  <c r="J36" i="2" s="1"/>
  <c r="H10" i="2"/>
  <c r="H43" i="2" s="1"/>
  <c r="H40" i="2"/>
  <c r="E6" i="5"/>
  <c r="D10" i="5"/>
  <c r="D11" i="5" s="1"/>
  <c r="H25" i="2"/>
  <c r="H24" i="2"/>
  <c r="G46" i="2"/>
  <c r="G5" i="5" s="1"/>
  <c r="F48" i="2"/>
  <c r="E50" i="2"/>
  <c r="J34" i="2"/>
  <c r="H41" i="2"/>
  <c r="L28" i="2"/>
  <c r="K30" i="2"/>
  <c r="K31" i="2"/>
  <c r="K34" i="2" s="1"/>
  <c r="K29" i="2"/>
  <c r="K32" i="2" s="1"/>
  <c r="I39" i="2"/>
  <c r="I7" i="2"/>
  <c r="J6" i="2"/>
  <c r="I9" i="2"/>
  <c r="I8" i="2"/>
  <c r="H12" i="2"/>
  <c r="H13" i="2" s="1"/>
  <c r="H14" i="2" s="1"/>
  <c r="H42" i="2"/>
  <c r="H45" i="2" s="1"/>
  <c r="J17" i="2"/>
  <c r="I20" i="2"/>
  <c r="I18" i="2"/>
  <c r="I21" i="2" s="1"/>
  <c r="I19" i="2"/>
  <c r="G45" i="2"/>
  <c r="I23" i="2" l="1"/>
  <c r="I41" i="2"/>
  <c r="L31" i="2"/>
  <c r="L30" i="2"/>
  <c r="L29" i="2"/>
  <c r="L32" i="2" s="1"/>
  <c r="M28" i="2"/>
  <c r="G47" i="2"/>
  <c r="E10" i="5"/>
  <c r="E11" i="5" s="1"/>
  <c r="F6" i="5"/>
  <c r="J20" i="2"/>
  <c r="J23" i="2" s="1"/>
  <c r="J19" i="2"/>
  <c r="J18" i="2"/>
  <c r="J21" i="2" s="1"/>
  <c r="K17" i="2"/>
  <c r="I42" i="2"/>
  <c r="I45" i="2" s="1"/>
  <c r="H46" i="2"/>
  <c r="H5" i="5" s="1"/>
  <c r="I40" i="2"/>
  <c r="I10" i="2"/>
  <c r="I43" i="2" s="1"/>
  <c r="K35" i="2"/>
  <c r="K36" i="2" s="1"/>
  <c r="I25" i="2"/>
  <c r="I24" i="2"/>
  <c r="J39" i="2"/>
  <c r="J8" i="2"/>
  <c r="J9" i="2"/>
  <c r="J7" i="2"/>
  <c r="K6" i="2"/>
  <c r="G48" i="2"/>
  <c r="F50" i="2"/>
  <c r="J42" i="2" l="1"/>
  <c r="G50" i="2"/>
  <c r="H48" i="2"/>
  <c r="H47" i="2"/>
  <c r="L17" i="2"/>
  <c r="K19" i="2"/>
  <c r="K20" i="2"/>
  <c r="K23" i="2" s="1"/>
  <c r="K18" i="2"/>
  <c r="K21" i="2" s="1"/>
  <c r="F10" i="5"/>
  <c r="F11" i="5" s="1"/>
  <c r="G6" i="5"/>
  <c r="K39" i="2"/>
  <c r="L6" i="2"/>
  <c r="K9" i="2"/>
  <c r="K7" i="2"/>
  <c r="K8" i="2"/>
  <c r="I46" i="2"/>
  <c r="I5" i="5" s="1"/>
  <c r="I47" i="2"/>
  <c r="M30" i="2"/>
  <c r="M31" i="2"/>
  <c r="M34" i="2" s="1"/>
  <c r="M29" i="2"/>
  <c r="M32" i="2" s="1"/>
  <c r="J41" i="2"/>
  <c r="J40" i="2"/>
  <c r="J10" i="2"/>
  <c r="J43" i="2" s="1"/>
  <c r="I12" i="2"/>
  <c r="I13" i="2" s="1"/>
  <c r="I14" i="2" s="1"/>
  <c r="J25" i="2"/>
  <c r="J24" i="2"/>
  <c r="L34" i="2"/>
  <c r="L35" i="2" s="1"/>
  <c r="L36" i="2" s="1"/>
  <c r="I48" i="2" l="1"/>
  <c r="H50" i="2"/>
  <c r="K40" i="2"/>
  <c r="K10" i="2"/>
  <c r="K43" i="2" s="1"/>
  <c r="H6" i="5"/>
  <c r="G10" i="5"/>
  <c r="G11" i="5" s="1"/>
  <c r="K24" i="2"/>
  <c r="K25" i="2" s="1"/>
  <c r="K41" i="2"/>
  <c r="K42" i="2"/>
  <c r="K45" i="2" s="1"/>
  <c r="L20" i="2"/>
  <c r="L19" i="2"/>
  <c r="L18" i="2"/>
  <c r="L21" i="2" s="1"/>
  <c r="M17" i="2"/>
  <c r="J12" i="2"/>
  <c r="J13" i="2" s="1"/>
  <c r="J14" i="2" s="1"/>
  <c r="M35" i="2"/>
  <c r="M36" i="2"/>
  <c r="L9" i="2"/>
  <c r="L8" i="2"/>
  <c r="L7" i="2"/>
  <c r="L39" i="2"/>
  <c r="M6" i="2"/>
  <c r="J45" i="2"/>
  <c r="J46" i="2" s="1"/>
  <c r="J5" i="5" l="1"/>
  <c r="J47" i="2"/>
  <c r="M39" i="2"/>
  <c r="B20" i="5" s="1"/>
  <c r="M8" i="2"/>
  <c r="M9" i="2"/>
  <c r="M7" i="2"/>
  <c r="L42" i="2"/>
  <c r="L45" i="2" s="1"/>
  <c r="L41" i="2"/>
  <c r="L23" i="2"/>
  <c r="L24" i="2" s="1"/>
  <c r="L25" i="2" s="1"/>
  <c r="L10" i="2"/>
  <c r="L43" i="2" s="1"/>
  <c r="L40" i="2"/>
  <c r="M20" i="2"/>
  <c r="M18" i="2"/>
  <c r="M21" i="2" s="1"/>
  <c r="M19" i="2"/>
  <c r="K12" i="2"/>
  <c r="K13" i="2" s="1"/>
  <c r="K14" i="2" s="1"/>
  <c r="K46" i="2"/>
  <c r="K5" i="5" s="1"/>
  <c r="I6" i="5"/>
  <c r="H10" i="5"/>
  <c r="H11" i="5" s="1"/>
  <c r="J48" i="2"/>
  <c r="I50" i="2"/>
  <c r="M41" i="2" l="1"/>
  <c r="M40" i="2"/>
  <c r="M10" i="2"/>
  <c r="M43" i="2" s="1"/>
  <c r="I10" i="5"/>
  <c r="I11" i="5" s="1"/>
  <c r="J6" i="5"/>
  <c r="M24" i="2"/>
  <c r="M25" i="2" s="1"/>
  <c r="L12" i="2"/>
  <c r="L13" i="2" s="1"/>
  <c r="L14" i="2" s="1"/>
  <c r="K48" i="2"/>
  <c r="J50" i="2"/>
  <c r="K47" i="2"/>
  <c r="M23" i="2"/>
  <c r="L46" i="2"/>
  <c r="L5" i="5" s="1"/>
  <c r="L47" i="2"/>
  <c r="M42" i="2"/>
  <c r="M45" i="2" s="1"/>
  <c r="B15" i="5" s="1"/>
  <c r="M12" i="2"/>
  <c r="M13" i="2" s="1"/>
  <c r="M14" i="2" s="1"/>
  <c r="K50" i="2" l="1"/>
  <c r="L48" i="2"/>
  <c r="J10" i="5"/>
  <c r="J11" i="5" s="1"/>
  <c r="K6" i="5"/>
  <c r="B21" i="5"/>
  <c r="M46" i="2"/>
  <c r="M5" i="5" s="1"/>
  <c r="B14" i="5"/>
  <c r="L6" i="5" l="1"/>
  <c r="K10" i="5"/>
  <c r="K11" i="5" s="1"/>
  <c r="B16" i="5"/>
  <c r="M47" i="2"/>
  <c r="M48" i="2"/>
  <c r="M50" i="2" s="1"/>
  <c r="L50" i="2"/>
  <c r="B18" i="5" l="1"/>
  <c r="B19" i="5"/>
  <c r="B17" i="5"/>
  <c r="M6" i="5"/>
  <c r="M10" i="5" s="1"/>
  <c r="M11" i="5" s="1"/>
  <c r="L10" i="5"/>
  <c r="L11" i="5" s="1"/>
</calcChain>
</file>

<file path=xl/sharedStrings.xml><?xml version="1.0" encoding="utf-8"?>
<sst xmlns="http://schemas.openxmlformats.org/spreadsheetml/2006/main" count="221" uniqueCount="182">
  <si>
    <t>CustomerPulse AI — Financial Model Assumptions</t>
  </si>
  <si>
    <t>Marketing Analyst — Orbitel</t>
  </si>
  <si>
    <t>Investment Costs</t>
  </si>
  <si>
    <t>Development Cost (Rs.)</t>
  </si>
  <si>
    <t>Cloud Infrastructure Setup (Rs.)</t>
  </si>
  <si>
    <t>Annual Maintenance (Rs.)</t>
  </si>
  <si>
    <t>Amortization Period (Years)</t>
  </si>
  <si>
    <t>Monthly Amortized Investment (Rs.)</t>
  </si>
  <si>
    <t>Monthly Maintenance (Rs.)</t>
  </si>
  <si>
    <t>Total Monthly Fixed Cost (Rs.)</t>
  </si>
  <si>
    <t>Per-Client Variable Costs</t>
  </si>
  <si>
    <t>CAC per Client (Rs.)</t>
  </si>
  <si>
    <t>Onboarding Cost per Client (Rs.)</t>
  </si>
  <si>
    <t>Support Cost per Client/Month (Rs.)</t>
  </si>
  <si>
    <t>Total Acquisition Cost per Client (Rs.)</t>
  </si>
  <si>
    <t>Pricing Strategy (Rs./Month)</t>
  </si>
  <si>
    <t>Base Price</t>
  </si>
  <si>
    <t>Target Segment</t>
  </si>
  <si>
    <t>Starter Plan</t>
  </si>
  <si>
    <t>Solo Entrepreneurs</t>
  </si>
  <si>
    <t>Growth Plan</t>
  </si>
  <si>
    <t>Small Teams / Agencies</t>
  </si>
  <si>
    <t>Pro Plan</t>
  </si>
  <si>
    <t>Multi-brand Businesses</t>
  </si>
  <si>
    <t>Demand &amp; Growth Assumptions</t>
  </si>
  <si>
    <t>Starter</t>
  </si>
  <si>
    <t>Growth</t>
  </si>
  <si>
    <t>Pro</t>
  </si>
  <si>
    <t>Base Demand (Clients)</t>
  </si>
  <si>
    <t>Monthly Net Growth Rate</t>
  </si>
  <si>
    <t>Price Sensitivity Parameters</t>
  </si>
  <si>
    <t>Price Change %</t>
  </si>
  <si>
    <t>Demand Elasticity (per 10% price ↑)</t>
  </si>
  <si>
    <t>Effective Price (Rs./Month)</t>
  </si>
  <si>
    <t>Adjusted Base Demand</t>
  </si>
  <si>
    <t>Opportunity Cost Estimates</t>
  </si>
  <si>
    <t>Amount (Rs.)</t>
  </si>
  <si>
    <t>Notes</t>
  </si>
  <si>
    <t>Client Projects</t>
  </si>
  <si>
    <t>4 developers × 6 months</t>
  </si>
  <si>
    <t>Bank Investment</t>
  </si>
  <si>
    <t>8% return on investment</t>
  </si>
  <si>
    <t>AI Chatbot Expansion</t>
  </si>
  <si>
    <t>15% ROI</t>
  </si>
  <si>
    <t>Total Opportunity Cost (Rs.)</t>
  </si>
  <si>
    <t>CustomerPulse AI — 12-Month Financial Projections</t>
  </si>
  <si>
    <t>Metric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</si>
  <si>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</si>
  <si>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</si>
  <si>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</si>
  <si>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</si>
  <si>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</si>
  <si>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</si>
  <si>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</si>
  <si>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</si>
  <si>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</si>
  <si>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</si>
  <si>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</si>
  <si>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</si>
  <si>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STARTER TIER</t>
  </si>
  <si>
    <t>Subscribers</t>
  </si>
  <si>
    <t>New Clients</t>
  </si>
  <si>
    <t>Revenue (Rs.)</t>
  </si>
  <si>
    <t>Support Cost (Rs.)</t>
  </si>
  <si>
    <t>Acquisition Cost (Rs.)</t>
  </si>
  <si>
    <t>Fixed Cost — 1/3 Alloc (Rs.)</t>
  </si>
  <si>
    <t>Total Cost (Rs.)</t>
  </si>
  <si>
    <t>Gross Profit (Rs.)</t>
  </si>
  <si>
    <t>Profit Margin (%)</t>
  </si>
  <si>
    <t>GROWTH TIER</t>
  </si>
  <si>
    <t>PRO TIER</t>
  </si>
  <si>
    <t>CONSOLIDATED — ALL TIERS</t>
  </si>
  <si>
    <t>Total Subscribers</t>
  </si>
  <si>
    <t>Total New Clients</t>
  </si>
  <si>
    <t>Total Revenue (Rs.)</t>
  </si>
  <si>
    <t>Total Support Cost (Rs.)</t>
  </si>
  <si>
    <t>Total Acquisition Cost (Rs.)</t>
  </si>
  <si>
    <t>Total Fixed Cost (Rs.)</t>
  </si>
  <si>
    <t>Total Gross Profit (Rs.)</t>
  </si>
  <si>
    <t>Overall Profit Margin (%)</t>
  </si>
  <si>
    <t>Cumulative Profit (Rs.)</t>
  </si>
  <si>
    <t>Opportunity Cost (Rs.)</t>
  </si>
  <si>
    <t>Cumulative Profit − Opp. Cost</t>
  </si>
  <si>
    <t>Scenario Analysis — What-If Comparison</t>
  </si>
  <si>
    <t>Compare Base, Optimistic, and Pessimistic Scenarios</t>
  </si>
  <si>
    <t>Scenario Parameters</t>
  </si>
  <si>
    <t>Base Case</t>
  </si>
  <si>
    <t>Optimistic</t>
  </si>
  <si>
    <t>Pessimistic</t>
  </si>
  <si>
    <t>Starter — Base Demand</t>
  </si>
  <si>
    <t>Starter — Growth Rate</t>
  </si>
  <si>
    <t>Starter — Price (Rs.)</t>
  </si>
  <si>
    <t>Growth — Base Demand</t>
  </si>
  <si>
    <t>Growth — Growth Rate</t>
  </si>
  <si>
    <t>Growth — Price (Rs.)</t>
  </si>
  <si>
    <t>Pro — Base Demand</t>
  </si>
  <si>
    <t>Pro — Growth Rate</t>
  </si>
  <si>
    <t>Pro — Price (Rs.)</t>
  </si>
  <si>
    <t>Pessimistic — 12-Month Output</t>
  </si>
  <si>
    <t>Starter — Month 12 Subscribers</t>
  </si>
  <si>
    <t>Growth — Month 12 Subscribers</t>
  </si>
  <si>
    <t>Pro — Month 12 Subscribers</t>
  </si>
  <si>
    <t>Total Month 12 Subscribers</t>
  </si>
  <si>
    <t>12-Month Total Revenue (Rs.)</t>
  </si>
  <si>
    <t>12-Month Total Cost (Rs.)</t>
  </si>
  <si>
    <t>12-Month Total Profit (Rs.)</t>
  </si>
  <si>
    <t>Profit vs Opportunity Cost</t>
  </si>
  <si>
    <t>Price Sensitivity Analysis — Impact on 12-Month Profit</t>
  </si>
  <si>
    <t>Shows how price changes affect demand and profitability per tier</t>
  </si>
  <si>
    <t>Price Change Scenario</t>
  </si>
  <si>
    <t>Starter Eff. Price</t>
  </si>
  <si>
    <t>Starter Adj. Demand</t>
  </si>
  <si>
    <t>Growth Eff. Price</t>
  </si>
  <si>
    <t>Growth Adj. Demand</t>
  </si>
  <si>
    <t>Pro Eff. Price</t>
  </si>
  <si>
    <t>Pro Adj. Demand</t>
  </si>
  <si>
    <t>12-Mo Total Revenue</t>
  </si>
  <si>
    <t>12-Mo Total Cost</t>
  </si>
  <si>
    <t>12-Mo Total Profit</t>
  </si>
  <si>
    <t>Profit Margin</t>
  </si>
  <si>
    <t>Breakeven &amp; Cumulative Profitability Analysis</t>
  </si>
  <si>
    <t>Tracks when CustomerPulse AI surpasses opportunity cost</t>
  </si>
  <si>
    <t>Month</t>
  </si>
  <si>
    <t>Monthly Gross Profit (Rs.)</t>
  </si>
  <si>
    <t>Total Investment (Rs.)</t>
  </si>
  <si>
    <t>Investment + Opportunity Cost (Rs.)</t>
  </si>
  <si>
    <t>Cumulative Profit − Total Hurdle</t>
  </si>
  <si>
    <t>Breakeven Achieved?</t>
  </si>
  <si>
    <t>KEY METRICS SUMMARY</t>
  </si>
  <si>
    <t>Total 12-Month Revenue (Rs.)</t>
  </si>
  <si>
    <t>Total 12-Month Cost (Rs.)</t>
  </si>
  <si>
    <t>Total 12-Month Profit (Rs.)</t>
  </si>
  <si>
    <t>ROI vs Investment (%)</t>
  </si>
  <si>
    <t>ROI vs Opportunity Cost (%)</t>
  </si>
  <si>
    <t>Month-12 Total Subscribers</t>
  </si>
  <si>
    <t>Month-12 Monthly Recurring Revenue</t>
  </si>
  <si>
    <t>CustomerPulse AI — Financial Model Visualizations</t>
  </si>
  <si>
    <t>Strategic Insights &amp; Recommendations</t>
  </si>
  <si>
    <t>Marketing Analyst — Orbitel CustomerPulse AI</t>
  </si>
  <si>
    <t>1. FINANCIAL VIABILITY ASSESSMENT</t>
  </si>
  <si>
    <t>The base-case model projects strong profitability from Month 1 itself, driven by the large subscriber base across</t>
  </si>
  <si>
    <t>all three tiers. With 1,200 Starter, 800 Growth, and 400 Pro clients at launch, the combined monthly revenue</t>
  </si>
  <si>
    <t>significantly exceeds operating costs. The 12-month cumulative profit is expected to far exceed both the initial</t>
  </si>
  <si>
    <t>investment (Rs. 1.8M) and the total opportunity cost (Rs. 2.5M), confirming financial viability.</t>
  </si>
  <si>
    <t>2. KEY DRIVERS OF PROFITABILITY</t>
  </si>
  <si>
    <t>Pro Tier is the margin leader: Despite having the smallest subscriber base, Pro contributes disproportionately</t>
  </si>
  <si>
    <t>to revenue at Rs. 14,999/month per client. Its margin exceeds 80% due to the premium pricing.</t>
  </si>
  <si>
    <t>Starter Tier drives volume: The 10% monthly growth rate on Starter generates the fastest subscriber expansion,</t>
  </si>
  <si>
    <t>compounding to over 3x the initial base by Month 12.</t>
  </si>
  <si>
    <t>Support cost is the largest variable expense, growing proportionally with subscribers.</t>
  </si>
  <si>
    <t>3. PRICING RECOMMENDATIONS</t>
  </si>
  <si>
    <t>The price sensitivity analysis shows that Orbitel can increase prices by 10-15% with minimal demand loss on</t>
  </si>
  <si>
    <t>Growth and Pro tiers (elasticity of -5% and -2.5% respectively). A 10% price increase on all tiers would</t>
  </si>
  <si>
    <t>significantly boost 12-month profit while losing relatively few clients. However, the Starter tier is the most</t>
  </si>
  <si>
    <t>price-sensitive (10% elasticity), so aggressive pricing here risks losing volume.</t>
  </si>
  <si>
    <t>Recommended: Hold Starter pricing, increase Growth by 10%, increase Pro by 10-15%.</t>
  </si>
  <si>
    <t>4. SCENARIO ANALYSIS SUMMARY</t>
  </si>
  <si>
    <t>Base Case: Project is profitable and exceeds opportunity cost within the 12-month window.</t>
  </si>
  <si>
    <t>Optimistic (20% higher demand, faster growth): Substantially higher profit, stronger ROI.</t>
  </si>
  <si>
    <t>Pessimistic (25% lower demand, slower growth, 15% price cut): Project may still be viable but with</t>
  </si>
  <si>
    <t>significantly thinner margins. The breakeven point shifts later and the opportunity cost gap narrows.</t>
  </si>
  <si>
    <t>5. CROSS-FUNCTIONAL SYSTEM THINKING</t>
  </si>
  <si>
    <t>→ Sales Analyst: Subscriber growth projections feed directly into sales forecasting. If Starter growth</t>
  </si>
  <si>
    <t xml:space="preserve">  reaches projected 10%/month, sales team capacity must scale accordingly.</t>
  </si>
  <si>
    <t>→ Operations Analyst: 3,400+ subscribers by Month 12 will increase network load. The Ops team must</t>
  </si>
  <si>
    <t xml:space="preserve">  ensure infrastructure capacity aligns with projected demand — especially in peak clusters.</t>
  </si>
  <si>
    <t>→ Financial Analyst: Revenue projections inform receivables expectations. If churn deviates from the</t>
  </si>
  <si>
    <t xml:space="preserve">  net growth assumptions, collection patterns and ageing will shift.</t>
  </si>
  <si>
    <t>→ HR Analyst: Support staff needs will grow with subscriber base. The support cost of Rs. 1,200/month</t>
  </si>
  <si>
    <t xml:space="preserve">  per client implies hiring requirements that HR must plan for by Month 6-8.</t>
  </si>
  <si>
    <t>6. TRADE-OFFS &amp; RISKS</t>
  </si>
  <si>
    <t>• Rapid growth increases support load — Orbitel must invest in AI automation to keep per-client cost flat.</t>
  </si>
  <si>
    <t>• Opportunity cost of Rs. 2.5M is significant — the project must maintain its growth trajectory to justify</t>
  </si>
  <si>
    <t xml:space="preserve">  diverting developers from client projects.</t>
  </si>
  <si>
    <t>• Churn is embedded in the "net growth rate" — if actual churn exceeds assumptions, the model overstates profit.</t>
  </si>
  <si>
    <t>• Platform maintenance at Rs. 100K/year is conservative — scaling may require higher infrastructure spend.</t>
  </si>
  <si>
    <t>7. RECOMMENDATION TO CEO</t>
  </si>
  <si>
    <t>PROCEED with CustomerPulse AI launch. The financial model demonstrates robust profitability under base-case</t>
  </si>
  <si>
    <t>assumptions, with 12-month cumulative profit substantially exceeding opportunity cost. The project becomes even</t>
  </si>
  <si>
    <t>more attractive with moderate price increases on Growth and Pro tiers. However, Orbitel should closely monitor</t>
  </si>
  <si>
    <t>Month 3-6 actual subscriber numbers vs projections and be prepared to adjust pricing or growth investment if</t>
  </si>
  <si>
    <t>the trajectory deviates from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</si>
</sst>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;\(#,##0\);\-"/>
  </numFmts>
  <fonts count="13">
    <font>
      <sz val="12"/>
      <color theme="1"/>
      <name val="Aptos Narrow"/>
      <family val="2"/>
      <charset val="1"/>
    </font>
    <font>
      <b/>
      <sz val="14"/>
      <color rgb="FF1F4E79"/>
      <name val="Arial"/>
      <charset val="1"/>
    </font>
    <font>
      <i/>
      <sz val="11"/>
      <color rgb="FF666666"/>
      <name val="Arial"/>
      <charset val="1"/>
    </font>
    <font>
      <b/>
      <sz val="12"/>
      <color rgb="FF1F4E79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10"/>
      <name val="Arial"/>
      <charset val="1"/>
    </font>
    <font>
      <b/>
      <sz val="12"/>
      <color rgb="FFFFFFFF"/>
      <name val="Arial"/>
      <charset val="1"/>
    </font>
    <font>
      <sz val="11"/>
      <color rgb="FF008000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156082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6E4F0"/>
      </patternFill>
    </fill>
    <fill>
      <patternFill patternType="solid">
        <fgColor rgb="FF548235"/>
        <bgColor rgb="FF666666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ont="1" applyFill="1" applyBorder="1"/>
    <xf numFmtId="0" fontId="4" fillId="0" borderId="1" xfId="0" applyFont="1" applyBorder="1"/>
    <xf numFmtId="3" fontId="5" fillId="0" borderId="1" xfId="0" applyNumberFormat="1" applyFont="1" applyBorder="1"/>
    <xf numFmtId="1" fontId="5" fillId="0" borderId="1" xfId="0" applyNumberFormat="1" applyFont="1" applyBorder="1"/>
    <xf numFmtId="3" fontId="6" fillId="3" borderId="1" xfId="0" applyNumberFormat="1" applyFont="1" applyFill="1" applyBorder="1"/>
    <xf numFmtId="3" fontId="6" fillId="4" borderId="1" xfId="0" applyNumberFormat="1" applyFont="1" applyFill="1" applyBorder="1"/>
    <xf numFmtId="0" fontId="7" fillId="5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/>
    <xf numFmtId="0" fontId="8" fillId="0" borderId="1" xfId="0" applyFont="1" applyBorder="1"/>
    <xf numFmtId="164" fontId="5" fillId="6" borderId="1" xfId="0" applyNumberFormat="1" applyFont="1" applyFill="1" applyBorder="1"/>
    <xf numFmtId="164" fontId="5" fillId="0" borderId="1" xfId="0" applyNumberFormat="1" applyFont="1" applyBorder="1"/>
    <xf numFmtId="0" fontId="9" fillId="5" borderId="1" xfId="0" applyFont="1" applyFill="1" applyBorder="1" applyAlignment="1">
      <alignment horizontal="center" vertical="center" wrapText="1"/>
    </xf>
    <xf numFmtId="0" fontId="0" fillId="2" borderId="0" xfId="0" applyFont="1" applyFill="1"/>
    <xf numFmtId="3" fontId="10" fillId="0" borderId="1" xfId="0" applyNumberFormat="1" applyFont="1" applyBorder="1"/>
    <xf numFmtId="3" fontId="6" fillId="0" borderId="1" xfId="0" applyNumberFormat="1" applyFont="1" applyBorder="1"/>
    <xf numFmtId="0" fontId="4" fillId="4" borderId="1" xfId="0" applyFont="1" applyFill="1" applyBorder="1"/>
    <xf numFmtId="0" fontId="4" fillId="7" borderId="1" xfId="0" applyFont="1" applyFill="1" applyBorder="1"/>
    <xf numFmtId="3" fontId="6" fillId="7" borderId="1" xfId="0" applyNumberFormat="1" applyFont="1" applyFill="1" applyBorder="1"/>
    <xf numFmtId="165" fontId="6" fillId="4" borderId="1" xfId="0" applyNumberFormat="1" applyFont="1" applyFill="1" applyBorder="1"/>
    <xf numFmtId="164" fontId="6" fillId="0" borderId="1" xfId="0" applyNumberFormat="1" applyFont="1" applyBorder="1"/>
    <xf numFmtId="0" fontId="3" fillId="8" borderId="1" xfId="0" applyFont="1" applyFill="1" applyBorder="1"/>
    <xf numFmtId="0" fontId="0" fillId="8" borderId="0" xfId="0" applyFont="1" applyFill="1"/>
    <xf numFmtId="0" fontId="4" fillId="9" borderId="1" xfId="0" applyFont="1" applyFill="1" applyBorder="1"/>
    <xf numFmtId="165" fontId="6" fillId="9" borderId="1" xfId="0" applyNumberFormat="1" applyFont="1" applyFill="1" applyBorder="1"/>
    <xf numFmtId="3" fontId="10" fillId="7" borderId="1" xfId="0" applyNumberFormat="1" applyFont="1" applyFill="1" applyBorder="1"/>
    <xf numFmtId="0" fontId="4" fillId="10" borderId="1" xfId="0" applyFont="1" applyFill="1" applyBorder="1"/>
    <xf numFmtId="165" fontId="6" fillId="10" borderId="1" xfId="0" applyNumberFormat="1" applyFont="1" applyFill="1" applyBorder="1"/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/>
    <xf numFmtId="0" fontId="4" fillId="13" borderId="1" xfId="0" applyFont="1" applyFill="1" applyBorder="1"/>
    <xf numFmtId="3" fontId="6" fillId="13" borderId="1" xfId="0" applyNumberFormat="1" applyFont="1" applyFill="1" applyBorder="1"/>
    <xf numFmtId="0" fontId="6" fillId="9" borderId="1" xfId="0" applyFont="1" applyFill="1" applyBorder="1"/>
    <xf numFmtId="0" fontId="11" fillId="0" borderId="0" xfId="0" applyFont="1"/>
    <xf numFmtId="0" fontId="3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56082"/>
      <rgbColor rgb="FFD9D9D9"/>
      <rgbColor rgb="FF8B8B8B"/>
      <rgbColor rgb="FF9999FF"/>
      <rgbColor rgb="FF7030A0"/>
      <rgbColor rgb="FFF2F2F2"/>
      <rgbColor rgb="FFDDEBF7"/>
      <rgbColor rgb="FF660066"/>
      <rgbColor rgb="FFED7D31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F9ED5"/>
      <rgbColor rgb="FFE2EFDA"/>
      <rgbColor rgb="FFC6EFCE"/>
      <rgbColor rgb="FFFCE4D6"/>
      <rgbColor rgb="FFD6E4F0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E97132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Monthly Revenue by Tier (Rs.)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Starter</c:v>
          </c:tx>
          <c:spPr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Model'!$B$8:$M$8</c:f>
              <c:numCache>
                <c:formatCode>#,##0</c:formatCode>
                <c:ptCount val="12"/>
                <c:pt idx="0">
                  <c:v>4798800</c:v>
                </c:pt>
                <c:pt idx="1">
                  <c:v>5278680</c:v>
                </c:pt>
                <c:pt idx="2">
                  <c:v>5806548.0000000009</c:v>
                </c:pt>
                <c:pt idx="3">
                  <c:v>6387202.8000000007</c:v>
                </c:pt>
                <c:pt idx="4">
                  <c:v>7025923.0800000019</c:v>
                </c:pt>
                <c:pt idx="5">
                  <c:v>7728515.3880000031</c:v>
                </c:pt>
                <c:pt idx="6">
                  <c:v>8501366.9268000033</c:v>
                </c:pt>
                <c:pt idx="7">
                  <c:v>9351503.6194800045</c:v>
                </c:pt>
                <c:pt idx="8">
                  <c:v>10286653.981428005</c:v>
                </c:pt>
                <c:pt idx="9">
                  <c:v>11315319.379570806</c:v>
                </c:pt>
                <c:pt idx="10">
                  <c:v>12446851.317527888</c:v>
                </c:pt>
                <c:pt idx="11">
                  <c:v>13691536.449280679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2C-4BC5-B015-0E6156543D92}"/>
            </c:ext>
          </c:extLst>
        </c:ser>
        <c:ser>
          <c:idx val="1"/>
          <c:order val="1"/>
          <c:tx>
            <c:v>Growth</c:v>
          </c:tx>
          <c:spPr>
            <a:ln w="633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Model'!$B$19:$M$19</c:f>
              <c:numCache>
                <c:formatCode>#,##0</c:formatCode>
                <c:ptCount val="12"/>
                <c:pt idx="0">
                  <c:v>6399200</c:v>
                </c:pt>
                <c:pt idx="1">
                  <c:v>6911136</c:v>
                </c:pt>
                <c:pt idx="2">
                  <c:v>7464026.8800000008</c:v>
                </c:pt>
                <c:pt idx="3">
                  <c:v>8061149.0304000014</c:v>
                </c:pt>
                <c:pt idx="4">
                  <c:v>8706040.9528320022</c:v>
                </c:pt>
                <c:pt idx="5">
                  <c:v>9402524.2290585637</c:v>
                </c:pt>
                <c:pt idx="6">
                  <c:v>10154726.167383248</c:v>
                </c:pt>
                <c:pt idx="7">
                  <c:v>10967104.260773908</c:v>
                </c:pt>
                <c:pt idx="8">
                  <c:v>11844472.601635823</c:v>
                </c:pt>
                <c:pt idx="9">
                  <c:v>12792030.409766689</c:v>
                </c:pt>
                <c:pt idx="10">
                  <c:v>13815392.842548024</c:v>
                </c:pt>
                <c:pt idx="11">
                  <c:v>14920624.269951869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2C-4BC5-B015-0E6156543D92}"/>
            </c:ext>
          </c:extLst>
        </c:ser>
        <c:ser>
          <c:idx val="2"/>
          <c:order val="2"/>
          <c:tx>
            <c:v>Pro</c:v>
          </c:tx>
          <c:spPr>
            <a:ln w="633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Model'!$B$30:$M$30</c:f>
              <c:numCache>
                <c:formatCode>#,##0</c:formatCode>
                <c:ptCount val="12"/>
                <c:pt idx="0">
                  <c:v>5999600</c:v>
                </c:pt>
                <c:pt idx="1">
                  <c:v>6299580</c:v>
                </c:pt>
                <c:pt idx="2">
                  <c:v>6614559</c:v>
                </c:pt>
                <c:pt idx="3">
                  <c:v>6945286.9500000002</c:v>
                </c:pt>
                <c:pt idx="4">
                  <c:v>7292551.2975000003</c:v>
                </c:pt>
                <c:pt idx="5">
                  <c:v>7657178.8623750014</c:v>
                </c:pt>
                <c:pt idx="6">
                  <c:v>8040037.8054937515</c:v>
                </c:pt>
                <c:pt idx="7">
                  <c:v>8442039.6957684401</c:v>
                </c:pt>
                <c:pt idx="8">
                  <c:v>8864141.6805568635</c:v>
                </c:pt>
                <c:pt idx="9">
                  <c:v>9307348.7645847071</c:v>
                </c:pt>
                <c:pt idx="10">
                  <c:v>9772716.202813942</c:v>
                </c:pt>
                <c:pt idx="11">
                  <c:v>10261352.012954639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62C-4BC5-B015-0E6156543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944703"/>
        <c:axId val="47583099"/>
      </c:lineChart>
      <c:catAx>
        <c:axId val="37944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7583099"/>
        <c:crosses val="autoZero"/>
        <c:auto val="1"/>
        <c:lblAlgn val="ctr"/>
        <c:lblOffset val="100"/>
        <c:noMultiLvlLbl val="0"/>
      </c:catAx>
      <c:valAx>
        <c:axId val="4758309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Revenue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7944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Consolidated Monthly Performance (Rs.)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Model'!$B$41:$M$41</c:f>
              <c:numCache>
                <c:formatCode>#,##0</c:formatCode>
                <c:ptCount val="12"/>
                <c:pt idx="0">
                  <c:v>17197600</c:v>
                </c:pt>
                <c:pt idx="1">
                  <c:v>18489396</c:v>
                </c:pt>
                <c:pt idx="2">
                  <c:v>19885133.880000003</c:v>
                </c:pt>
                <c:pt idx="3">
                  <c:v>21393638.780400001</c:v>
                </c:pt>
                <c:pt idx="4">
                  <c:v>23024515.330332004</c:v>
                </c:pt>
                <c:pt idx="5">
                  <c:v>24788218.47943357</c:v>
                </c:pt>
                <c:pt idx="6">
                  <c:v>26696130.899677001</c:v>
                </c:pt>
                <c:pt idx="7">
                  <c:v>28760647.576022349</c:v>
                </c:pt>
                <c:pt idx="8">
                  <c:v>30995268.26362069</c:v>
                </c:pt>
                <c:pt idx="9">
                  <c:v>33414698.553922199</c:v>
                </c:pt>
                <c:pt idx="10">
                  <c:v>36034960.362889856</c:v>
                </c:pt>
                <c:pt idx="11">
                  <c:v>38873512.732187189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DF-441E-B412-4C483E72DDD9}"/>
            </c:ext>
          </c:extLst>
        </c:ser>
        <c:ser>
          <c:idx val="1"/>
          <c:order val="1"/>
          <c:tx>
            <c:v>Total Cost</c:v>
          </c:tx>
          <c:spPr>
            <a:ln w="633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Model'!$B$45:$M$45</c:f>
              <c:numCache>
                <c:formatCode>#,##0</c:formatCode>
                <c:ptCount val="12"/>
                <c:pt idx="0">
                  <c:v>8738333.333333334</c:v>
                </c:pt>
                <c:pt idx="1">
                  <c:v>3657833.3333333335</c:v>
                </c:pt>
                <c:pt idx="2">
                  <c:v>3968318.3333333349</c:v>
                </c:pt>
                <c:pt idx="3">
                  <c:v>4306563.3833333338</c:v>
                </c:pt>
                <c:pt idx="4">
                  <c:v>4675122.8498333348</c:v>
                </c:pt>
                <c:pt idx="5">
                  <c:v>5076790.8767783353</c:v>
                </c:pt>
                <c:pt idx="6">
                  <c:v>5514624.2141601853</c:v>
                </c:pt>
                <c:pt idx="7">
                  <c:v>5991967.2427278971</c:v>
                </c:pt>
                <c:pt idx="8">
                  <c:v>6512479.4077361031</c:v>
                </c:pt>
                <c:pt idx="9">
                  <c:v>7080165.2954327976</c:v>
                </c:pt>
                <c:pt idx="10">
                  <c:v>7699407.6087949509</c:v>
                </c:pt>
                <c:pt idx="11">
                  <c:v>8375003.3240645388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DF-441E-B412-4C483E72DDD9}"/>
            </c:ext>
          </c:extLst>
        </c:ser>
        <c:ser>
          <c:idx val="2"/>
          <c:order val="2"/>
          <c:tx>
            <c:v>Total Profit</c:v>
          </c:tx>
          <c:spPr>
            <a:ln w="633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Model'!$B$46:$M$46</c:f>
              <c:numCache>
                <c:formatCode>#,##0;\(#,##0\);\-</c:formatCode>
                <c:ptCount val="12"/>
                <c:pt idx="0">
                  <c:v>8459266.666666666</c:v>
                </c:pt>
                <c:pt idx="1">
                  <c:v>14831562.666666666</c:v>
                </c:pt>
                <c:pt idx="2">
                  <c:v>15916815.546666667</c:v>
                </c:pt>
                <c:pt idx="3">
                  <c:v>17087075.397066668</c:v>
                </c:pt>
                <c:pt idx="4">
                  <c:v>18349392.480498668</c:v>
                </c:pt>
                <c:pt idx="5">
                  <c:v>19711427.602655236</c:v>
                </c:pt>
                <c:pt idx="6">
                  <c:v>21181506.685516816</c:v>
                </c:pt>
                <c:pt idx="7">
                  <c:v>22768680.333294451</c:v>
                </c:pt>
                <c:pt idx="8">
                  <c:v>24482788.855884586</c:v>
                </c:pt>
                <c:pt idx="9">
                  <c:v>26334533.2584894</c:v>
                </c:pt>
                <c:pt idx="10">
                  <c:v>28335552.754094906</c:v>
                </c:pt>
                <c:pt idx="11">
                  <c:v>30498509.408122651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DF-441E-B412-4C483E72D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983539"/>
        <c:axId val="12918639"/>
      </c:lineChart>
      <c:catAx>
        <c:axId val="96983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2918639"/>
        <c:crosses val="autoZero"/>
        <c:auto val="1"/>
        <c:lblAlgn val="ctr"/>
        <c:lblOffset val="100"/>
        <c:noMultiLvlLbl val="0"/>
      </c:catAx>
      <c:valAx>
        <c:axId val="1291863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Amount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6983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Cumulative Profit vs Opportunity Cost (Rs.)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Profit</c:v>
          </c:tx>
          <c:spPr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Model'!$B$48:$M$48</c:f>
              <c:numCache>
                <c:formatCode>#,##0;\(#,##0\);\-</c:formatCode>
                <c:ptCount val="12"/>
                <c:pt idx="0">
                  <c:v>8459266.666666666</c:v>
                </c:pt>
                <c:pt idx="1">
                  <c:v>23290829.333333332</c:v>
                </c:pt>
                <c:pt idx="2">
                  <c:v>39207644.879999995</c:v>
                </c:pt>
                <c:pt idx="3">
                  <c:v>56294720.277066663</c:v>
                </c:pt>
                <c:pt idx="4">
                  <c:v>74644112.757565334</c:v>
                </c:pt>
                <c:pt idx="5">
                  <c:v>94355540.360220566</c:v>
                </c:pt>
                <c:pt idx="6">
                  <c:v>115537047.04573739</c:v>
                </c:pt>
                <c:pt idx="7">
                  <c:v>138305727.37903184</c:v>
                </c:pt>
                <c:pt idx="8">
                  <c:v>162788516.23491642</c:v>
                </c:pt>
                <c:pt idx="9">
                  <c:v>189123049.49340582</c:v>
                </c:pt>
                <c:pt idx="10">
                  <c:v>217458602.24750072</c:v>
                </c:pt>
                <c:pt idx="11">
                  <c:v>247957111.65562338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75-42ED-852A-5C3970D5735A}"/>
            </c:ext>
          </c:extLst>
        </c:ser>
        <c:ser>
          <c:idx val="1"/>
          <c:order val="1"/>
          <c:tx>
            <c:v>Opportunity Cost</c:v>
          </c:tx>
          <c:spPr>
            <a:ln w="63360">
              <a:solidFill>
                <a:srgbClr val="E97132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Model'!$B$49:$M$49</c:f>
              <c:numCache>
                <c:formatCode>#,##0</c:formatCode>
                <c:ptCount val="12"/>
                <c:pt idx="0">
                  <c:v>2500000</c:v>
                </c:pt>
                <c:pt idx="1">
                  <c:v>2500000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2500000</c:v>
                </c:pt>
                <c:pt idx="8">
                  <c:v>2500000</c:v>
                </c:pt>
                <c:pt idx="9">
                  <c:v>2500000</c:v>
                </c:pt>
                <c:pt idx="10">
                  <c:v>2500000</c:v>
                </c:pt>
                <c:pt idx="11">
                  <c:v>2500000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75-42ED-852A-5C3970D5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153218"/>
        <c:axId val="52375493"/>
      </c:lineChart>
      <c:catAx>
        <c:axId val="28153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2375493"/>
        <c:crosses val="autoZero"/>
        <c:auto val="1"/>
        <c:lblAlgn val="ctr"/>
        <c:lblOffset val="100"/>
        <c:noMultiLvlLbl val="0"/>
      </c:catAx>
      <c:valAx>
        <c:axId val="5237549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Amount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8153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Subscriber Growth by Tier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Starter</c:v>
          </c:tx>
          <c:spPr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Model'!$B$6:$M$6</c:f>
              <c:numCache>
                <c:formatCode>#,##0</c:formatCode>
                <c:ptCount val="12"/>
                <c:pt idx="0">
                  <c:v>1200</c:v>
                </c:pt>
                <c:pt idx="1">
                  <c:v>1320</c:v>
                </c:pt>
                <c:pt idx="2">
                  <c:v>1452.0000000000002</c:v>
                </c:pt>
                <c:pt idx="3">
                  <c:v>1597.2000000000003</c:v>
                </c:pt>
                <c:pt idx="4">
                  <c:v>1756.9200000000005</c:v>
                </c:pt>
                <c:pt idx="5">
                  <c:v>1932.6120000000008</c:v>
                </c:pt>
                <c:pt idx="6">
                  <c:v>2125.8732000000009</c:v>
                </c:pt>
                <c:pt idx="7">
                  <c:v>2338.460520000001</c:v>
                </c:pt>
                <c:pt idx="8">
                  <c:v>2572.3065720000013</c:v>
                </c:pt>
                <c:pt idx="9">
                  <c:v>2829.5372292000015</c:v>
                </c:pt>
                <c:pt idx="10">
                  <c:v>3112.490952120002</c:v>
                </c:pt>
                <c:pt idx="11">
                  <c:v>3423.7400473320026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84-406F-9390-630DAF05DC65}"/>
            </c:ext>
          </c:extLst>
        </c:ser>
        <c:ser>
          <c:idx val="1"/>
          <c:order val="1"/>
          <c:tx>
            <c:v>Growth</c:v>
          </c:tx>
          <c:spPr>
            <a:ln w="633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Model'!$B$17:$M$17</c:f>
              <c:numCache>
                <c:formatCode>#,##0</c:formatCode>
                <c:ptCount val="12"/>
                <c:pt idx="0">
                  <c:v>800</c:v>
                </c:pt>
                <c:pt idx="1">
                  <c:v>864</c:v>
                </c:pt>
                <c:pt idx="2">
                  <c:v>933.12000000000012</c:v>
                </c:pt>
                <c:pt idx="3">
                  <c:v>1007.7696000000002</c:v>
                </c:pt>
                <c:pt idx="4">
                  <c:v>1088.3911680000003</c:v>
                </c:pt>
                <c:pt idx="5">
                  <c:v>1175.4624614400004</c:v>
                </c:pt>
                <c:pt idx="6">
                  <c:v>1269.4994583552004</c:v>
                </c:pt>
                <c:pt idx="7">
                  <c:v>1371.0594150236166</c:v>
                </c:pt>
                <c:pt idx="8">
                  <c:v>1480.744168225506</c:v>
                </c:pt>
                <c:pt idx="9">
                  <c:v>1599.2037016835466</c:v>
                </c:pt>
                <c:pt idx="10">
                  <c:v>1727.1399978182303</c:v>
                </c:pt>
                <c:pt idx="11">
                  <c:v>1865.311197643689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84-406F-9390-630DAF05DC65}"/>
            </c:ext>
          </c:extLst>
        </c:ser>
        <c:ser>
          <c:idx val="2"/>
          <c:order val="2"/>
          <c:tx>
            <c:v>Pro</c:v>
          </c:tx>
          <c:spPr>
            <a:ln w="633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Model'!$B$28:$M$28</c:f>
              <c:numCache>
                <c:formatCode>#,##0</c:formatCode>
                <c:ptCount val="12"/>
                <c:pt idx="0">
                  <c:v>400</c:v>
                </c:pt>
                <c:pt idx="1">
                  <c:v>420</c:v>
                </c:pt>
                <c:pt idx="2">
                  <c:v>441</c:v>
                </c:pt>
                <c:pt idx="3">
                  <c:v>463.05</c:v>
                </c:pt>
                <c:pt idx="4">
                  <c:v>486.20250000000004</c:v>
                </c:pt>
                <c:pt idx="5">
                  <c:v>510.51262500000007</c:v>
                </c:pt>
                <c:pt idx="6">
                  <c:v>536.03825625000013</c:v>
                </c:pt>
                <c:pt idx="7">
                  <c:v>562.84016906250019</c:v>
                </c:pt>
                <c:pt idx="8">
                  <c:v>590.98217751562527</c:v>
                </c:pt>
                <c:pt idx="9">
                  <c:v>620.53128639140652</c:v>
                </c:pt>
                <c:pt idx="10">
                  <c:v>651.55785071097682</c:v>
                </c:pt>
                <c:pt idx="11">
                  <c:v>684.13574324652575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084-406F-9390-630DAF05D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643962"/>
        <c:axId val="49223537"/>
      </c:lineChart>
      <c:catAx>
        <c:axId val="93643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9223537"/>
        <c:crosses val="autoZero"/>
        <c:auto val="1"/>
        <c:lblAlgn val="ctr"/>
        <c:lblOffset val="100"/>
        <c:noMultiLvlLbl val="0"/>
      </c:catAx>
      <c:valAx>
        <c:axId val="4922353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Subscribers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3643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Monthly Profit Margin by Tier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Starter</c:v>
          </c:tx>
          <c:spPr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Model'!$B$14:$M$14</c:f>
              <c:numCache>
                <c:formatCode>0.0%</c:formatCode>
                <c:ptCount val="12"/>
                <c:pt idx="0">
                  <c:v>9.0860678132496042E-2</c:v>
                </c:pt>
                <c:pt idx="1">
                  <c:v>0.64237692419737924</c:v>
                </c:pt>
                <c:pt idx="2">
                  <c:v>0.64259698227281026</c:v>
                </c:pt>
                <c:pt idx="3">
                  <c:v>0.6427970350686566</c:v>
                </c:pt>
                <c:pt idx="4">
                  <c:v>0.64297890124669876</c:v>
                </c:pt>
                <c:pt idx="5">
                  <c:v>0.64314423413582811</c:v>
                </c:pt>
                <c:pt idx="6">
                  <c:v>0.64329453676230908</c:v>
                </c:pt>
                <c:pt idx="7">
                  <c:v>0.64343117551365558</c:v>
                </c:pt>
                <c:pt idx="8">
                  <c:v>0.64355539256033423</c:v>
                </c:pt>
                <c:pt idx="9">
                  <c:v>0.64366831714822392</c:v>
                </c:pt>
                <c:pt idx="10">
                  <c:v>0.64377097586448728</c:v>
                </c:pt>
                <c:pt idx="11">
                  <c:v>0.64386430197018119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F6-4821-A563-EFA6E0072784}"/>
            </c:ext>
          </c:extLst>
        </c:ser>
        <c:ser>
          <c:idx val="1"/>
          <c:order val="1"/>
          <c:tx>
            <c:v>Growth</c:v>
          </c:tx>
          <c:spPr>
            <a:ln w="633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Model'!$B$25:$M$25</c:f>
              <c:numCache>
                <c:formatCode>0.0%</c:formatCode>
                <c:ptCount val="12"/>
                <c:pt idx="0">
                  <c:v>0.54482157491908711</c:v>
                </c:pt>
                <c:pt idx="1">
                  <c:v>0.82567586894863909</c:v>
                </c:pt>
                <c:pt idx="2">
                  <c:v>0.82581282212936269</c:v>
                </c:pt>
                <c:pt idx="3">
                  <c:v>0.82593963063003273</c:v>
                </c:pt>
                <c:pt idx="4">
                  <c:v>0.82605704590843076</c:v>
                </c:pt>
                <c:pt idx="5">
                  <c:v>0.82616576375879947</c:v>
                </c:pt>
                <c:pt idx="6">
                  <c:v>0.8262664284350667</c:v>
                </c:pt>
                <c:pt idx="7">
                  <c:v>0.82635963646864752</c:v>
                </c:pt>
                <c:pt idx="8">
                  <c:v>0.82644594020344453</c:v>
                </c:pt>
                <c:pt idx="9">
                  <c:v>0.82652585106899734</c:v>
                </c:pt>
                <c:pt idx="10">
                  <c:v>0.82659984261117581</c:v>
                </c:pt>
                <c:pt idx="11">
                  <c:v>0.82666835329837818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F6-4821-A563-EFA6E0072784}"/>
            </c:ext>
          </c:extLst>
        </c:ser>
        <c:ser>
          <c:idx val="2"/>
          <c:order val="2"/>
          <c:tx>
            <c:v>Pro</c:v>
          </c:tx>
          <c:spPr>
            <a:ln w="633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Model'!$B$36:$M$36</c:f>
              <c:numCache>
                <c:formatCode>0.0%</c:formatCode>
                <c:ptCount val="12"/>
                <c:pt idx="0">
                  <c:v>0.75618744953367256</c:v>
                </c:pt>
                <c:pt idx="1">
                  <c:v>0.91026738643246408</c:v>
                </c:pt>
                <c:pt idx="2">
                  <c:v>0.91036397471429642</c:v>
                </c:pt>
                <c:pt idx="3">
                  <c:v>0.91045596355413683</c:v>
                </c:pt>
                <c:pt idx="4">
                  <c:v>0.91054357197303237</c:v>
                </c:pt>
                <c:pt idx="5">
                  <c:v>0.91062700856245682</c:v>
                </c:pt>
                <c:pt idx="6">
                  <c:v>0.91070647198095611</c:v>
                </c:pt>
                <c:pt idx="7">
                  <c:v>0.91078215142714603</c:v>
                </c:pt>
                <c:pt idx="8">
                  <c:v>0.91085422709018415</c:v>
                </c:pt>
                <c:pt idx="9">
                  <c:v>0.91092287057879173</c:v>
                </c:pt>
                <c:pt idx="10">
                  <c:v>0.91098824532984646</c:v>
                </c:pt>
                <c:pt idx="11">
                  <c:v>0.91105050699751799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4F6-4821-A563-EFA6E0072784}"/>
            </c:ext>
          </c:extLst>
        </c:ser>
        <c:ser>
          <c:idx val="3"/>
          <c:order val="3"/>
          <c:tx>
            <c:v>Overall</c:v>
          </c:tx>
          <c:spPr>
            <a:ln w="633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'Monthly Model'!$B$47:$M$47</c:f>
              <c:numCache>
                <c:formatCode>0.0%</c:formatCode>
                <c:ptCount val="12"/>
                <c:pt idx="0">
                  <c:v>0.491886464778031</c:v>
                </c:pt>
                <c:pt idx="1">
                  <c:v>0.802165882902106</c:v>
                </c:pt>
                <c:pt idx="2">
                  <c:v>0.80043793734149427</c:v>
                </c:pt>
                <c:pt idx="3">
                  <c:v>0.7986988829932552</c:v>
                </c:pt>
                <c:pt idx="4">
                  <c:v>0.79695021663824428</c:v>
                </c:pt>
                <c:pt idx="5">
                  <c:v>0.79519339475765571</c:v>
                </c:pt>
                <c:pt idx="6">
                  <c:v>0.79342983315133098</c:v>
                </c:pt>
                <c:pt idx="7">
                  <c:v>0.79166090656027577</c:v>
                </c:pt>
                <c:pt idx="8">
                  <c:v>0.7898879483040373</c:v>
                </c:pt>
                <c:pt idx="9">
                  <c:v>0.78811224994272067</c:v>
                </c:pt>
                <c:pt idx="10">
                  <c:v>0.78633506097250805</c:v>
                </c:pt>
                <c:pt idx="11">
                  <c:v>0.78455758856260882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4F6-4821-A563-EFA6E0072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399390"/>
        <c:axId val="42656966"/>
      </c:lineChart>
      <c:catAx>
        <c:axId val="23399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2656966"/>
        <c:crosses val="autoZero"/>
        <c:auto val="1"/>
        <c:lblAlgn val="ctr"/>
        <c:lblOffset val="100"/>
        <c:noMultiLvlLbl val="0"/>
      </c:catAx>
      <c:valAx>
        <c:axId val="4265696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Profit Margin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33993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12-Month Profit at Different Price Points (Rs.)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Sensitivity'!$J$4</c:f>
              <c:strCache>
                <c:ptCount val="1"/>
                <c:pt idx="0">
                  <c:v>12-Mo Total Profit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'Price Sensitivity'!$J$5:$J$15</c:f>
              <c:numCache>
                <c:formatCode>#,##0;\(#,##0\);\-</c:formatCode>
                <c:ptCount val="11"/>
                <c:pt idx="0">
                  <c:v>203442029.28820726</c:v>
                </c:pt>
                <c:pt idx="1">
                  <c:v>215974891.47630334</c:v>
                </c:pt>
                <c:pt idx="2">
                  <c:v>227571692.60023805</c:v>
                </c:pt>
                <c:pt idx="3">
                  <c:v>238232432.66001147</c:v>
                </c:pt>
                <c:pt idx="4">
                  <c:v>247957111.6556235</c:v>
                </c:pt>
                <c:pt idx="5">
                  <c:v>256745729.5870741</c:v>
                </c:pt>
                <c:pt idx="6">
                  <c:v>264598286.45436344</c:v>
                </c:pt>
                <c:pt idx="7">
                  <c:v>271514782.25749117</c:v>
                </c:pt>
                <c:pt idx="8">
                  <c:v>277495216.99645776</c:v>
                </c:pt>
                <c:pt idx="9">
                  <c:v>282539590.67126286</c:v>
                </c:pt>
                <c:pt idx="10">
                  <c:v>286647903.28190672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6-4291-9A8C-F50F782D4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25473"/>
        <c:axId val="34090249"/>
      </c:barChart>
      <c:catAx>
        <c:axId val="38025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Price Change 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4090249"/>
        <c:crosses val="autoZero"/>
        <c:auto val="1"/>
        <c:lblAlgn val="ctr"/>
        <c:lblOffset val="100"/>
        <c:noMultiLvlLbl val="0"/>
      </c:catAx>
      <c:valAx>
        <c:axId val="3409024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Total Profit (Rs.)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8025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95250</xdr:rowOff>
    </xdr:from>
    <xdr:to>
      <xdr:col>8</xdr:col>
      <xdr:colOff>584200</xdr:colOff>
      <xdr:row>18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8</xdr:col>
      <xdr:colOff>654050</xdr:colOff>
      <xdr:row>35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8</xdr:col>
      <xdr:colOff>666750</xdr:colOff>
      <xdr:row>52</xdr:row>
      <xdr:rowOff>25400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52</xdr:row>
      <xdr:rowOff>160560</xdr:rowOff>
    </xdr:from>
    <xdr:to>
      <xdr:col>10</xdr:col>
      <xdr:colOff>419100</xdr:colOff>
      <xdr:row>69</xdr:row>
      <xdr:rowOff>44450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69</xdr:row>
      <xdr:rowOff>160920</xdr:rowOff>
    </xdr:from>
    <xdr:to>
      <xdr:col>11</xdr:col>
      <xdr:colOff>495300</xdr:colOff>
      <xdr:row>86</xdr:row>
      <xdr:rowOff>120650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86</xdr:row>
      <xdr:rowOff>160920</xdr:rowOff>
    </xdr:from>
    <xdr:to>
      <xdr:col>9</xdr:col>
      <xdr:colOff>82550</xdr:colOff>
      <xdr:row>106</xdr:row>
      <xdr:rowOff>120650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38"/>
  <sheetViews>
    <sheetView zoomScaleNormal="100" workbookViewId="0"/>
  </sheetViews>
  <sheetFormatPr defaultColWidth="8.4609375" defaultRowHeight="15.5"/>
  <cols>
    <col min="1" max="1" width="35" style="1" customWidth="1"/>
    <col min="2" max="2" width="18" style="1" customWidth="1"/>
    <col min="3" max="3" width="25" style="1" customWidth="1"/>
    <col min="4" max="5" width="18" style="1" customWidth="1"/>
  </cols>
  <sheetData>
    <row r="1" spans="1:2" ht="18">
      <c r="A1" s="2" t="s">
        <v>0</v>
      </c>
    </row>
    <row r="2" spans="1:2">
      <c r="A2" s="3" t="s">
        <v>1</v>
      </c>
    </row>
    <row r="4" spans="1:2">
      <c r="A4" s="4" t="s">
        <v>2</v>
      </c>
      <c r="B4" s="5"/>
    </row>
    <row r="5" spans="1:2">
      <c r="A5" s="6" t="s">
        <v>3</v>
      </c>
      <c r="B5" s="7">
        <v>1500000</v>
      </c>
    </row>
    <row r="6" spans="1:2">
      <c r="A6" s="6" t="s">
        <v>4</v>
      </c>
      <c r="B6" s="7">
        <v>300000</v>
      </c>
    </row>
    <row r="7" spans="1:2">
      <c r="A7" s="6" t="s">
        <v>5</v>
      </c>
      <c r="B7" s="7">
        <v>100000</v>
      </c>
    </row>
    <row r="8" spans="1:2">
      <c r="A8" s="6" t="s">
        <v>6</v>
      </c>
      <c r="B8" s="8">
        <v>5</v>
      </c>
    </row>
    <row r="9" spans="1:2">
      <c r="A9" s="6" t="s">
        <v>7</v>
      </c>
      <c r="B9" s="9">
        <f>(B5+B6)/(B8*12)</f>
        <v>30000</v>
      </c>
    </row>
    <row r="10" spans="1:2">
      <c r="A10" s="6" t="s">
        <v>8</v>
      </c>
      <c r="B10" s="9">
        <f>B7/12</f>
        <v>8333.3333333333339</v>
      </c>
    </row>
    <row r="11" spans="1:2">
      <c r="A11" s="6" t="s">
        <v>9</v>
      </c>
      <c r="B11" s="10">
        <f>B9+B10</f>
        <v>38333.333333333336</v>
      </c>
    </row>
    <row r="13" spans="1:2">
      <c r="A13" s="4" t="s">
        <v>10</v>
      </c>
      <c r="B13" s="5"/>
    </row>
    <row r="14" spans="1:2">
      <c r="A14" s="6" t="s">
        <v>11</v>
      </c>
      <c r="B14" s="7">
        <v>575</v>
      </c>
    </row>
    <row r="15" spans="1:2">
      <c r="A15" s="6" t="s">
        <v>12</v>
      </c>
      <c r="B15" s="7">
        <v>1850</v>
      </c>
    </row>
    <row r="16" spans="1:2">
      <c r="A16" s="6" t="s">
        <v>13</v>
      </c>
      <c r="B16" s="7">
        <v>1200</v>
      </c>
    </row>
    <row r="17" spans="1:4">
      <c r="A17" s="6" t="s">
        <v>14</v>
      </c>
      <c r="B17" s="9">
        <f>B14+B15</f>
        <v>2425</v>
      </c>
    </row>
    <row r="19" spans="1:4">
      <c r="A19" s="4" t="s">
        <v>15</v>
      </c>
      <c r="B19" s="11" t="s">
        <v>16</v>
      </c>
      <c r="C19" s="11" t="s">
        <v>17</v>
      </c>
    </row>
    <row r="20" spans="1:4">
      <c r="A20" s="6" t="s">
        <v>18</v>
      </c>
      <c r="B20" s="12">
        <v>3999</v>
      </c>
      <c r="C20" s="13" t="s">
        <v>19</v>
      </c>
    </row>
    <row r="21" spans="1:4">
      <c r="A21" s="6" t="s">
        <v>20</v>
      </c>
      <c r="B21" s="12">
        <v>7999</v>
      </c>
      <c r="C21" s="13" t="s">
        <v>21</v>
      </c>
    </row>
    <row r="22" spans="1:4">
      <c r="A22" s="6" t="s">
        <v>22</v>
      </c>
      <c r="B22" s="12">
        <v>14999</v>
      </c>
      <c r="C22" s="13" t="s">
        <v>23</v>
      </c>
    </row>
    <row r="24" spans="1:4">
      <c r="A24" s="4" t="s">
        <v>24</v>
      </c>
      <c r="B24" s="11" t="s">
        <v>25</v>
      </c>
      <c r="C24" s="11" t="s">
        <v>26</v>
      </c>
      <c r="D24" s="11" t="s">
        <v>27</v>
      </c>
    </row>
    <row r="25" spans="1:4">
      <c r="A25" s="6" t="s">
        <v>28</v>
      </c>
      <c r="B25" s="12">
        <v>1200</v>
      </c>
      <c r="C25" s="12">
        <v>800</v>
      </c>
      <c r="D25" s="12">
        <v>400</v>
      </c>
    </row>
    <row r="26" spans="1:4">
      <c r="A26" s="6" t="s">
        <v>29</v>
      </c>
      <c r="B26" s="14">
        <v>0.1</v>
      </c>
      <c r="C26" s="14">
        <v>0.08</v>
      </c>
      <c r="D26" s="14">
        <v>0.05</v>
      </c>
    </row>
    <row r="28" spans="1:4">
      <c r="A28" s="4" t="s">
        <v>30</v>
      </c>
      <c r="B28" s="11" t="s">
        <v>25</v>
      </c>
      <c r="C28" s="11" t="s">
        <v>26</v>
      </c>
      <c r="D28" s="11" t="s">
        <v>27</v>
      </c>
    </row>
    <row r="29" spans="1:4">
      <c r="A29" s="6" t="s">
        <v>31</v>
      </c>
      <c r="B29" s="14">
        <v>0</v>
      </c>
      <c r="C29" s="14">
        <v>0</v>
      </c>
      <c r="D29" s="14">
        <v>0</v>
      </c>
    </row>
    <row r="30" spans="1:4">
      <c r="A30" s="6" t="s">
        <v>32</v>
      </c>
      <c r="B30" s="15">
        <v>-0.1</v>
      </c>
      <c r="C30" s="15">
        <v>-0.05</v>
      </c>
      <c r="D30" s="15">
        <v>-2.5000000000000001E-2</v>
      </c>
    </row>
    <row r="31" spans="1:4">
      <c r="A31" s="6" t="s">
        <v>33</v>
      </c>
      <c r="B31" s="10">
        <f>B20*(1+B29)</f>
        <v>3999</v>
      </c>
      <c r="C31" s="10">
        <f>B21*(1+C29)</f>
        <v>7999</v>
      </c>
      <c r="D31" s="10">
        <f>B22*(1+D29)</f>
        <v>14999</v>
      </c>
    </row>
    <row r="32" spans="1:4">
      <c r="A32" s="6" t="s">
        <v>34</v>
      </c>
      <c r="B32" s="10">
        <f>B25*(1+(B29/0.1)*B30)</f>
        <v>1200</v>
      </c>
      <c r="C32" s="10">
        <f>C25*(1+(C29/0.1)*C30)</f>
        <v>800</v>
      </c>
      <c r="D32" s="10">
        <f>D25*(1+(D29/0.1)*D30)</f>
        <v>400</v>
      </c>
    </row>
    <row r="34" spans="1:3">
      <c r="A34" s="4" t="s">
        <v>35</v>
      </c>
      <c r="B34" s="11" t="s">
        <v>36</v>
      </c>
      <c r="C34" s="11" t="s">
        <v>37</v>
      </c>
    </row>
    <row r="35" spans="1:3">
      <c r="A35" s="6" t="s">
        <v>38</v>
      </c>
      <c r="B35" s="7">
        <v>1000000</v>
      </c>
      <c r="C35" s="13" t="s">
        <v>39</v>
      </c>
    </row>
    <row r="36" spans="1:3">
      <c r="A36" s="6" t="s">
        <v>40</v>
      </c>
      <c r="B36" s="7">
        <v>800000</v>
      </c>
      <c r="C36" s="13" t="s">
        <v>41</v>
      </c>
    </row>
    <row r="37" spans="1:3">
      <c r="A37" s="6" t="s">
        <v>42</v>
      </c>
      <c r="B37" s="7">
        <v>700000</v>
      </c>
      <c r="C37" s="13" t="s">
        <v>43</v>
      </c>
    </row>
    <row r="38" spans="1:3">
      <c r="A38" s="6" t="s">
        <v>44</v>
      </c>
      <c r="B38" s="10">
        <f>SUM(B35:B37)</f>
        <v>2500000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M50"/>
  <sheetViews>
    <sheetView topLeftCell="A33" zoomScaleNormal="100" workbookViewId="0">
      <selection activeCell="B51" sqref="B51"/>
    </sheetView>
  </sheetViews>
  <sheetFormatPr defaultColWidth="8.4609375" defaultRowHeight="15.5"/>
  <cols>
    <col min="1" max="1" width="28" style="1" customWidth="1"/>
    <col min="2" max="13" width="16" style="1" customWidth="1"/>
  </cols>
  <sheetData>
    <row r="1" spans="1:13" ht="18">
      <c r="A1" s="2" t="s">
        <v>45</v>
      </c>
    </row>
    <row r="2" spans="1:13">
      <c r="A2" s="3" t="s">
        <v>1</v>
      </c>
    </row>
    <row r="4" spans="1:13">
      <c r="A4" s="16" t="s">
        <v>46</v>
      </c>
      <c r="B4" s="16" t="s">
        <v>47</v>
      </c>
      <c r="C4" s="16" t="s">
        <v>48</v>
      </c>
      <c r="D4" s="16" t="s">
        <v>49</v>
      </c>
      <c r="E4" s="16" t="s">
        <v>50</v>
      </c>
      <c r="F4" s="16" t="s">
        <v>51</v>
      </c>
      <c r="G4" s="16" t="s">
        <v>52</v>
      </c>
      <c r="H4" s="16" t="s">
        <v>53</v>
      </c>
      <c r="I4" s="16" t="s">
        <v>54</v>
      </c>
      <c r="J4" s="16" t="s">
        <v>55</v>
      </c>
      <c r="K4" s="16" t="s">
        <v>56</v>
      </c>
      <c r="L4" s="16" t="s">
        <v>57</v>
      </c>
      <c r="M4" s="16" t="s">
        <v>58</v>
      </c>
    </row>
    <row r="5" spans="1:13">
      <c r="A5" s="4" t="s">
        <v>59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>
      <c r="A6" s="6" t="s">
        <v>60</v>
      </c>
      <c r="B6" s="18">
        <f>Assumptions!B32</f>
        <v>1200</v>
      </c>
      <c r="C6" s="19">
        <f>B6*(1+Assumptions!$B$26)</f>
        <v>1320</v>
      </c>
      <c r="D6" s="19">
        <f>C6*(1+Assumptions!$B$26)</f>
        <v>1452.0000000000002</v>
      </c>
      <c r="E6" s="19">
        <f>D6*(1+Assumptions!$B$26)</f>
        <v>1597.2000000000003</v>
      </c>
      <c r="F6" s="19">
        <f>E6*(1+Assumptions!$B$26)</f>
        <v>1756.9200000000005</v>
      </c>
      <c r="G6" s="19">
        <f>F6*(1+Assumptions!$B$26)</f>
        <v>1932.6120000000008</v>
      </c>
      <c r="H6" s="19">
        <f>G6*(1+Assumptions!$B$26)</f>
        <v>2125.8732000000009</v>
      </c>
      <c r="I6" s="19">
        <f>H6*(1+Assumptions!$B$26)</f>
        <v>2338.460520000001</v>
      </c>
      <c r="J6" s="19">
        <f>I6*(1+Assumptions!$B$26)</f>
        <v>2572.3065720000013</v>
      </c>
      <c r="K6" s="19">
        <f>J6*(1+Assumptions!$B$26)</f>
        <v>2829.5372292000015</v>
      </c>
      <c r="L6" s="19">
        <f>K6*(1+Assumptions!$B$26)</f>
        <v>3112.490952120002</v>
      </c>
      <c r="M6" s="19">
        <f>L6*(1+Assumptions!$B$26)</f>
        <v>3423.7400473320026</v>
      </c>
    </row>
    <row r="7" spans="1:13">
      <c r="A7" s="6" t="s">
        <v>61</v>
      </c>
      <c r="B7" s="19">
        <f>B6</f>
        <v>1200</v>
      </c>
      <c r="C7" s="19">
        <f t="shared" ref="C7:M7" si="0">C6-B6</f>
        <v>120</v>
      </c>
      <c r="D7" s="19">
        <f t="shared" si="0"/>
        <v>132.00000000000023</v>
      </c>
      <c r="E7" s="19">
        <f t="shared" si="0"/>
        <v>145.20000000000005</v>
      </c>
      <c r="F7" s="19">
        <f t="shared" si="0"/>
        <v>159.72000000000025</v>
      </c>
      <c r="G7" s="19">
        <f t="shared" si="0"/>
        <v>175.69200000000023</v>
      </c>
      <c r="H7" s="19">
        <f t="shared" si="0"/>
        <v>193.26120000000014</v>
      </c>
      <c r="I7" s="19">
        <f t="shared" si="0"/>
        <v>212.58732000000009</v>
      </c>
      <c r="J7" s="19">
        <f t="shared" si="0"/>
        <v>233.84605200000033</v>
      </c>
      <c r="K7" s="19">
        <f t="shared" si="0"/>
        <v>257.23065720000022</v>
      </c>
      <c r="L7" s="19">
        <f t="shared" si="0"/>
        <v>282.95372292000047</v>
      </c>
      <c r="M7" s="19">
        <f t="shared" si="0"/>
        <v>311.24909521200061</v>
      </c>
    </row>
    <row r="8" spans="1:13">
      <c r="A8" s="20" t="s">
        <v>62</v>
      </c>
      <c r="B8" s="10">
        <f>B6*Assumptions!$B$31</f>
        <v>4798800</v>
      </c>
      <c r="C8" s="10">
        <f>C6*Assumptions!$B$31</f>
        <v>5278680</v>
      </c>
      <c r="D8" s="10">
        <f>D6*Assumptions!$B$31</f>
        <v>5806548.0000000009</v>
      </c>
      <c r="E8" s="10">
        <f>E6*Assumptions!$B$31</f>
        <v>6387202.8000000007</v>
      </c>
      <c r="F8" s="10">
        <f>F6*Assumptions!$B$31</f>
        <v>7025923.0800000019</v>
      </c>
      <c r="G8" s="10">
        <f>G6*Assumptions!$B$31</f>
        <v>7728515.3880000031</v>
      </c>
      <c r="H8" s="10">
        <f>H6*Assumptions!$B$31</f>
        <v>8501366.9268000033</v>
      </c>
      <c r="I8" s="10">
        <f>I6*Assumptions!$B$31</f>
        <v>9351503.6194800045</v>
      </c>
      <c r="J8" s="10">
        <f>J6*Assumptions!$B$31</f>
        <v>10286653.981428005</v>
      </c>
      <c r="K8" s="10">
        <f>K6*Assumptions!$B$31</f>
        <v>11315319.379570806</v>
      </c>
      <c r="L8" s="10">
        <f>L6*Assumptions!$B$31</f>
        <v>12446851.317527888</v>
      </c>
      <c r="M8" s="10">
        <f>M6*Assumptions!$B$31</f>
        <v>13691536.449280679</v>
      </c>
    </row>
    <row r="9" spans="1:13">
      <c r="A9" s="6" t="s">
        <v>63</v>
      </c>
      <c r="B9" s="19">
        <f>B6*Assumptions!$B$16</f>
        <v>1440000</v>
      </c>
      <c r="C9" s="19">
        <f>C6*Assumptions!$B$16</f>
        <v>1584000</v>
      </c>
      <c r="D9" s="19">
        <f>D6*Assumptions!$B$16</f>
        <v>1742400.0000000002</v>
      </c>
      <c r="E9" s="19">
        <f>E6*Assumptions!$B$16</f>
        <v>1916640.0000000002</v>
      </c>
      <c r="F9" s="19">
        <f>F6*Assumptions!$B$16</f>
        <v>2108304.0000000005</v>
      </c>
      <c r="G9" s="19">
        <f>G6*Assumptions!$B$16</f>
        <v>2319134.4000000008</v>
      </c>
      <c r="H9" s="19">
        <f>H6*Assumptions!$B$16</f>
        <v>2551047.8400000012</v>
      </c>
      <c r="I9" s="19">
        <f>I6*Assumptions!$B$16</f>
        <v>2806152.6240000012</v>
      </c>
      <c r="J9" s="19">
        <f>J6*Assumptions!$B$16</f>
        <v>3086767.8864000016</v>
      </c>
      <c r="K9" s="19">
        <f>K6*Assumptions!$B$16</f>
        <v>3395444.675040002</v>
      </c>
      <c r="L9" s="19">
        <f>L6*Assumptions!$B$16</f>
        <v>3734989.1425440023</v>
      </c>
      <c r="M9" s="19">
        <f>M6*Assumptions!$B$16</f>
        <v>4108488.0567984032</v>
      </c>
    </row>
    <row r="10" spans="1:13">
      <c r="A10" s="6" t="s">
        <v>64</v>
      </c>
      <c r="B10" s="19">
        <f>B7*Assumptions!$B$17</f>
        <v>2910000</v>
      </c>
      <c r="C10" s="19">
        <f>C7*Assumptions!$B$17</f>
        <v>291000</v>
      </c>
      <c r="D10" s="19">
        <f>D7*Assumptions!$B$17</f>
        <v>320100.00000000052</v>
      </c>
      <c r="E10" s="19">
        <f>E7*Assumptions!$B$17</f>
        <v>352110.00000000012</v>
      </c>
      <c r="F10" s="19">
        <f>F7*Assumptions!$B$17</f>
        <v>387321.00000000064</v>
      </c>
      <c r="G10" s="19">
        <f>G7*Assumptions!$B$17</f>
        <v>426053.10000000056</v>
      </c>
      <c r="H10" s="19">
        <f>H7*Assumptions!$B$17</f>
        <v>468658.41000000032</v>
      </c>
      <c r="I10" s="19">
        <f>I7*Assumptions!$B$17</f>
        <v>515524.25100000022</v>
      </c>
      <c r="J10" s="19">
        <f>J7*Assumptions!$B$17</f>
        <v>567076.67610000074</v>
      </c>
      <c r="K10" s="19">
        <f>K7*Assumptions!$B$17</f>
        <v>623784.34371000051</v>
      </c>
      <c r="L10" s="19">
        <f>L7*Assumptions!$B$17</f>
        <v>686162.77808100113</v>
      </c>
      <c r="M10" s="19">
        <f>M7*Assumptions!$B$17</f>
        <v>754779.05588910147</v>
      </c>
    </row>
    <row r="11" spans="1:13">
      <c r="A11" s="6" t="s">
        <v>65</v>
      </c>
      <c r="B11" s="19">
        <f>Assumptions!$B$11/3</f>
        <v>12777.777777777779</v>
      </c>
      <c r="C11" s="19">
        <f>Assumptions!$B$11/3</f>
        <v>12777.777777777779</v>
      </c>
      <c r="D11" s="19">
        <f>Assumptions!$B$11/3</f>
        <v>12777.777777777779</v>
      </c>
      <c r="E11" s="19">
        <f>Assumptions!$B$11/3</f>
        <v>12777.777777777779</v>
      </c>
      <c r="F11" s="19">
        <f>Assumptions!$B$11/3</f>
        <v>12777.777777777779</v>
      </c>
      <c r="G11" s="19">
        <f>Assumptions!$B$11/3</f>
        <v>12777.777777777779</v>
      </c>
      <c r="H11" s="19">
        <f>Assumptions!$B$11/3</f>
        <v>12777.777777777779</v>
      </c>
      <c r="I11" s="19">
        <f>Assumptions!$B$11/3</f>
        <v>12777.777777777779</v>
      </c>
      <c r="J11" s="19">
        <f>Assumptions!$B$11/3</f>
        <v>12777.777777777779</v>
      </c>
      <c r="K11" s="19">
        <f>Assumptions!$B$11/3</f>
        <v>12777.777777777779</v>
      </c>
      <c r="L11" s="19">
        <f>Assumptions!$B$11/3</f>
        <v>12777.777777777779</v>
      </c>
      <c r="M11" s="19">
        <f>Assumptions!$B$11/3</f>
        <v>12777.777777777779</v>
      </c>
    </row>
    <row r="12" spans="1:13">
      <c r="A12" s="21" t="s">
        <v>66</v>
      </c>
      <c r="B12" s="22">
        <f t="shared" ref="B12:M12" si="1">SUM(B9:B11)</f>
        <v>4362777.777777778</v>
      </c>
      <c r="C12" s="22">
        <f t="shared" si="1"/>
        <v>1887777.7777777778</v>
      </c>
      <c r="D12" s="22">
        <f t="shared" si="1"/>
        <v>2075277.7777777785</v>
      </c>
      <c r="E12" s="22">
        <f t="shared" si="1"/>
        <v>2281527.7777777785</v>
      </c>
      <c r="F12" s="22">
        <f t="shared" si="1"/>
        <v>2508402.7777777789</v>
      </c>
      <c r="G12" s="22">
        <f t="shared" si="1"/>
        <v>2757965.2777777794</v>
      </c>
      <c r="H12" s="22">
        <f t="shared" si="1"/>
        <v>3032484.0277777794</v>
      </c>
      <c r="I12" s="22">
        <f t="shared" si="1"/>
        <v>3334454.6527777794</v>
      </c>
      <c r="J12" s="22">
        <f t="shared" si="1"/>
        <v>3666622.3402777803</v>
      </c>
      <c r="K12" s="22">
        <f t="shared" si="1"/>
        <v>4032006.7965277806</v>
      </c>
      <c r="L12" s="22">
        <f t="shared" si="1"/>
        <v>4433929.698402781</v>
      </c>
      <c r="M12" s="22">
        <f t="shared" si="1"/>
        <v>4876044.8904652828</v>
      </c>
    </row>
    <row r="13" spans="1:13">
      <c r="A13" s="20" t="s">
        <v>67</v>
      </c>
      <c r="B13" s="23">
        <f t="shared" ref="B13:M13" si="2">B8-B12</f>
        <v>436022.22222222202</v>
      </c>
      <c r="C13" s="23">
        <f t="shared" si="2"/>
        <v>3390902.222222222</v>
      </c>
      <c r="D13" s="23">
        <f t="shared" si="2"/>
        <v>3731270.2222222225</v>
      </c>
      <c r="E13" s="23">
        <f t="shared" si="2"/>
        <v>4105675.0222222223</v>
      </c>
      <c r="F13" s="23">
        <f t="shared" si="2"/>
        <v>4517520.302222223</v>
      </c>
      <c r="G13" s="23">
        <f t="shared" si="2"/>
        <v>4970550.1102222241</v>
      </c>
      <c r="H13" s="23">
        <f t="shared" si="2"/>
        <v>5468882.8990222234</v>
      </c>
      <c r="I13" s="23">
        <f t="shared" si="2"/>
        <v>6017048.9667022247</v>
      </c>
      <c r="J13" s="23">
        <f t="shared" si="2"/>
        <v>6620031.641150225</v>
      </c>
      <c r="K13" s="23">
        <f t="shared" si="2"/>
        <v>7283312.5830430258</v>
      </c>
      <c r="L13" s="23">
        <f t="shared" si="2"/>
        <v>8012921.6191251073</v>
      </c>
      <c r="M13" s="23">
        <f t="shared" si="2"/>
        <v>8815491.5588153973</v>
      </c>
    </row>
    <row r="14" spans="1:13">
      <c r="A14" s="6" t="s">
        <v>68</v>
      </c>
      <c r="B14" s="24">
        <f t="shared" ref="B14:M14" si="3">IF(B8=0,0,B13/B8)</f>
        <v>9.0860678132496042E-2</v>
      </c>
      <c r="C14" s="24">
        <f t="shared" si="3"/>
        <v>0.64237692419737924</v>
      </c>
      <c r="D14" s="24">
        <f t="shared" si="3"/>
        <v>0.64259698227281026</v>
      </c>
      <c r="E14" s="24">
        <f t="shared" si="3"/>
        <v>0.6427970350686566</v>
      </c>
      <c r="F14" s="24">
        <f t="shared" si="3"/>
        <v>0.64297890124669876</v>
      </c>
      <c r="G14" s="24">
        <f t="shared" si="3"/>
        <v>0.64314423413582811</v>
      </c>
      <c r="H14" s="24">
        <f t="shared" si="3"/>
        <v>0.64329453676230908</v>
      </c>
      <c r="I14" s="24">
        <f t="shared" si="3"/>
        <v>0.64343117551365558</v>
      </c>
      <c r="J14" s="24">
        <f t="shared" si="3"/>
        <v>0.64355539256033423</v>
      </c>
      <c r="K14" s="24">
        <f t="shared" si="3"/>
        <v>0.64366831714822392</v>
      </c>
      <c r="L14" s="24">
        <f t="shared" si="3"/>
        <v>0.64377097586448728</v>
      </c>
      <c r="M14" s="24">
        <f t="shared" si="3"/>
        <v>0.64386430197018119</v>
      </c>
    </row>
    <row r="16" spans="1:13">
      <c r="A16" s="4" t="s">
        <v>69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>
      <c r="A17" s="6" t="s">
        <v>60</v>
      </c>
      <c r="B17" s="18">
        <f>Assumptions!C32</f>
        <v>800</v>
      </c>
      <c r="C17" s="19">
        <f>B17*(1+Assumptions!$C$26)</f>
        <v>864</v>
      </c>
      <c r="D17" s="19">
        <f>C17*(1+Assumptions!$C$26)</f>
        <v>933.12000000000012</v>
      </c>
      <c r="E17" s="19">
        <f>D17*(1+Assumptions!$C$26)</f>
        <v>1007.7696000000002</v>
      </c>
      <c r="F17" s="19">
        <f>E17*(1+Assumptions!$C$26)</f>
        <v>1088.3911680000003</v>
      </c>
      <c r="G17" s="19">
        <f>F17*(1+Assumptions!$C$26)</f>
        <v>1175.4624614400004</v>
      </c>
      <c r="H17" s="19">
        <f>G17*(1+Assumptions!$C$26)</f>
        <v>1269.4994583552004</v>
      </c>
      <c r="I17" s="19">
        <f>H17*(1+Assumptions!$C$26)</f>
        <v>1371.0594150236166</v>
      </c>
      <c r="J17" s="19">
        <f>I17*(1+Assumptions!$C$26)</f>
        <v>1480.744168225506</v>
      </c>
      <c r="K17" s="19">
        <f>J17*(1+Assumptions!$C$26)</f>
        <v>1599.2037016835466</v>
      </c>
      <c r="L17" s="19">
        <f>K17*(1+Assumptions!$C$26)</f>
        <v>1727.1399978182303</v>
      </c>
      <c r="M17" s="19">
        <f>L17*(1+Assumptions!$C$26)</f>
        <v>1865.311197643689</v>
      </c>
    </row>
    <row r="18" spans="1:13">
      <c r="A18" s="6" t="s">
        <v>61</v>
      </c>
      <c r="B18" s="19">
        <f>B17</f>
        <v>800</v>
      </c>
      <c r="C18" s="19">
        <f t="shared" ref="C18:M18" si="4">C17-B17</f>
        <v>64</v>
      </c>
      <c r="D18" s="19">
        <f t="shared" si="4"/>
        <v>69.120000000000118</v>
      </c>
      <c r="E18" s="19">
        <f t="shared" si="4"/>
        <v>74.649600000000078</v>
      </c>
      <c r="F18" s="19">
        <f t="shared" si="4"/>
        <v>80.621568000000138</v>
      </c>
      <c r="G18" s="19">
        <f t="shared" si="4"/>
        <v>87.07129344000009</v>
      </c>
      <c r="H18" s="19">
        <f t="shared" si="4"/>
        <v>94.036996915200007</v>
      </c>
      <c r="I18" s="19">
        <f t="shared" si="4"/>
        <v>101.55995666841613</v>
      </c>
      <c r="J18" s="19">
        <f t="shared" si="4"/>
        <v>109.68475320188941</v>
      </c>
      <c r="K18" s="19">
        <f t="shared" si="4"/>
        <v>118.4595334580406</v>
      </c>
      <c r="L18" s="19">
        <f t="shared" si="4"/>
        <v>127.93629613468374</v>
      </c>
      <c r="M18" s="19">
        <f t="shared" si="4"/>
        <v>138.17119982545864</v>
      </c>
    </row>
    <row r="19" spans="1:13">
      <c r="A19" s="20" t="s">
        <v>62</v>
      </c>
      <c r="B19" s="10">
        <f>B17*Assumptions!$C$31</f>
        <v>6399200</v>
      </c>
      <c r="C19" s="10">
        <f>C17*Assumptions!$C$31</f>
        <v>6911136</v>
      </c>
      <c r="D19" s="10">
        <f>D17*Assumptions!$C$31</f>
        <v>7464026.8800000008</v>
      </c>
      <c r="E19" s="10">
        <f>E17*Assumptions!$C$31</f>
        <v>8061149.0304000014</v>
      </c>
      <c r="F19" s="10">
        <f>F17*Assumptions!$C$31</f>
        <v>8706040.9528320022</v>
      </c>
      <c r="G19" s="10">
        <f>G17*Assumptions!$C$31</f>
        <v>9402524.2290585637</v>
      </c>
      <c r="H19" s="10">
        <f>H17*Assumptions!$C$31</f>
        <v>10154726.167383248</v>
      </c>
      <c r="I19" s="10">
        <f>I17*Assumptions!$C$31</f>
        <v>10967104.260773908</v>
      </c>
      <c r="J19" s="10">
        <f>J17*Assumptions!$C$31</f>
        <v>11844472.601635823</v>
      </c>
      <c r="K19" s="10">
        <f>K17*Assumptions!$C$31</f>
        <v>12792030.409766689</v>
      </c>
      <c r="L19" s="10">
        <f>L17*Assumptions!$C$31</f>
        <v>13815392.842548024</v>
      </c>
      <c r="M19" s="10">
        <f>M17*Assumptions!$C$31</f>
        <v>14920624.269951869</v>
      </c>
    </row>
    <row r="20" spans="1:13">
      <c r="A20" s="6" t="s">
        <v>63</v>
      </c>
      <c r="B20" s="19">
        <f>B17*Assumptions!$B$16</f>
        <v>960000</v>
      </c>
      <c r="C20" s="19">
        <f>C17*Assumptions!$B$16</f>
        <v>1036800</v>
      </c>
      <c r="D20" s="19">
        <f>D17*Assumptions!$B$16</f>
        <v>1119744.0000000002</v>
      </c>
      <c r="E20" s="19">
        <f>E17*Assumptions!$B$16</f>
        <v>1209323.5200000003</v>
      </c>
      <c r="F20" s="19">
        <f>F17*Assumptions!$B$16</f>
        <v>1306069.4016000004</v>
      </c>
      <c r="G20" s="19">
        <f>G17*Assumptions!$B$16</f>
        <v>1410554.9537280004</v>
      </c>
      <c r="H20" s="19">
        <f>H17*Assumptions!$B$16</f>
        <v>1523399.3500262406</v>
      </c>
      <c r="I20" s="19">
        <f>I17*Assumptions!$B$16</f>
        <v>1645271.2980283399</v>
      </c>
      <c r="J20" s="19">
        <f>J17*Assumptions!$B$16</f>
        <v>1776893.0018706073</v>
      </c>
      <c r="K20" s="19">
        <f>K17*Assumptions!$B$16</f>
        <v>1919044.4420202558</v>
      </c>
      <c r="L20" s="19">
        <f>L17*Assumptions!$B$16</f>
        <v>2072567.9973818765</v>
      </c>
      <c r="M20" s="19">
        <f>M17*Assumptions!$B$16</f>
        <v>2238373.4371724268</v>
      </c>
    </row>
    <row r="21" spans="1:13">
      <c r="A21" s="6" t="s">
        <v>64</v>
      </c>
      <c r="B21" s="19">
        <f>B18*Assumptions!$B$17</f>
        <v>1940000</v>
      </c>
      <c r="C21" s="19">
        <f>C18*Assumptions!$B$17</f>
        <v>155200</v>
      </c>
      <c r="D21" s="19">
        <f>D18*Assumptions!$B$17</f>
        <v>167616.00000000029</v>
      </c>
      <c r="E21" s="19">
        <f>E18*Assumptions!$B$17</f>
        <v>181025.2800000002</v>
      </c>
      <c r="F21" s="19">
        <f>F18*Assumptions!$B$17</f>
        <v>195507.30240000034</v>
      </c>
      <c r="G21" s="19">
        <f>G18*Assumptions!$B$17</f>
        <v>211147.88659200023</v>
      </c>
      <c r="H21" s="19">
        <f>H18*Assumptions!$B$17</f>
        <v>228039.71751936001</v>
      </c>
      <c r="I21" s="19">
        <f>I18*Assumptions!$B$17</f>
        <v>246282.89492090914</v>
      </c>
      <c r="J21" s="19">
        <f>J18*Assumptions!$B$17</f>
        <v>265985.52651458181</v>
      </c>
      <c r="K21" s="19">
        <f>K18*Assumptions!$B$17</f>
        <v>287264.36863574845</v>
      </c>
      <c r="L21" s="19">
        <f>L18*Assumptions!$B$17</f>
        <v>310245.51812660811</v>
      </c>
      <c r="M21" s="19">
        <f>M18*Assumptions!$B$17</f>
        <v>335065.15957673721</v>
      </c>
    </row>
    <row r="22" spans="1:13">
      <c r="A22" s="6" t="s">
        <v>65</v>
      </c>
      <c r="B22" s="19">
        <f>Assumptions!$B$11/3</f>
        <v>12777.777777777779</v>
      </c>
      <c r="C22" s="19">
        <f>Assumptions!$B$11/3</f>
        <v>12777.777777777779</v>
      </c>
      <c r="D22" s="19">
        <f>Assumptions!$B$11/3</f>
        <v>12777.777777777779</v>
      </c>
      <c r="E22" s="19">
        <f>Assumptions!$B$11/3</f>
        <v>12777.777777777779</v>
      </c>
      <c r="F22" s="19">
        <f>Assumptions!$B$11/3</f>
        <v>12777.777777777779</v>
      </c>
      <c r="G22" s="19">
        <f>Assumptions!$B$11/3</f>
        <v>12777.777777777779</v>
      </c>
      <c r="H22" s="19">
        <f>Assumptions!$B$11/3</f>
        <v>12777.777777777779</v>
      </c>
      <c r="I22" s="19">
        <f>Assumptions!$B$11/3</f>
        <v>12777.777777777779</v>
      </c>
      <c r="J22" s="19">
        <f>Assumptions!$B$11/3</f>
        <v>12777.777777777779</v>
      </c>
      <c r="K22" s="19">
        <f>Assumptions!$B$11/3</f>
        <v>12777.777777777779</v>
      </c>
      <c r="L22" s="19">
        <f>Assumptions!$B$11/3</f>
        <v>12777.777777777779</v>
      </c>
      <c r="M22" s="19">
        <f>Assumptions!$B$11/3</f>
        <v>12777.777777777779</v>
      </c>
    </row>
    <row r="23" spans="1:13">
      <c r="A23" s="21" t="s">
        <v>66</v>
      </c>
      <c r="B23" s="22">
        <f t="shared" ref="B23:M23" si="5">SUM(B20:B22)</f>
        <v>2912777.777777778</v>
      </c>
      <c r="C23" s="22">
        <f t="shared" si="5"/>
        <v>1204777.7777777778</v>
      </c>
      <c r="D23" s="22">
        <f t="shared" si="5"/>
        <v>1300137.7777777782</v>
      </c>
      <c r="E23" s="22">
        <f t="shared" si="5"/>
        <v>1403126.5777777783</v>
      </c>
      <c r="F23" s="22">
        <f t="shared" si="5"/>
        <v>1514354.4817777786</v>
      </c>
      <c r="G23" s="22">
        <f t="shared" si="5"/>
        <v>1634480.6180977784</v>
      </c>
      <c r="H23" s="22">
        <f t="shared" si="5"/>
        <v>1764216.8453233785</v>
      </c>
      <c r="I23" s="22">
        <f t="shared" si="5"/>
        <v>1904331.9707270267</v>
      </c>
      <c r="J23" s="22">
        <f t="shared" si="5"/>
        <v>2055656.3061629669</v>
      </c>
      <c r="K23" s="22">
        <f t="shared" si="5"/>
        <v>2219086.5884337821</v>
      </c>
      <c r="L23" s="22">
        <f t="shared" si="5"/>
        <v>2395591.2932862625</v>
      </c>
      <c r="M23" s="22">
        <f t="shared" si="5"/>
        <v>2586216.3745269421</v>
      </c>
    </row>
    <row r="24" spans="1:13">
      <c r="A24" s="20" t="s">
        <v>67</v>
      </c>
      <c r="B24" s="23">
        <f t="shared" ref="B24:M24" si="6">B19-B23</f>
        <v>3486422.222222222</v>
      </c>
      <c r="C24" s="23">
        <f t="shared" si="6"/>
        <v>5706358.222222222</v>
      </c>
      <c r="D24" s="23">
        <f t="shared" si="6"/>
        <v>6163889.1022222228</v>
      </c>
      <c r="E24" s="23">
        <f t="shared" si="6"/>
        <v>6658022.4526222236</v>
      </c>
      <c r="F24" s="23">
        <f t="shared" si="6"/>
        <v>7191686.4710542234</v>
      </c>
      <c r="G24" s="23">
        <f t="shared" si="6"/>
        <v>7768043.6109607853</v>
      </c>
      <c r="H24" s="23">
        <f t="shared" si="6"/>
        <v>8390509.3220598698</v>
      </c>
      <c r="I24" s="23">
        <f t="shared" si="6"/>
        <v>9062772.2900468819</v>
      </c>
      <c r="J24" s="23">
        <f t="shared" si="6"/>
        <v>9788816.2954728566</v>
      </c>
      <c r="K24" s="23">
        <f t="shared" si="6"/>
        <v>10572943.821332907</v>
      </c>
      <c r="L24" s="23">
        <f t="shared" si="6"/>
        <v>11419801.549261762</v>
      </c>
      <c r="M24" s="23">
        <f t="shared" si="6"/>
        <v>12334407.895424927</v>
      </c>
    </row>
    <row r="25" spans="1:13">
      <c r="A25" s="6" t="s">
        <v>68</v>
      </c>
      <c r="B25" s="24">
        <f t="shared" ref="B25:M25" si="7">IF(B19=0,0,B24/B19)</f>
        <v>0.54482157491908711</v>
      </c>
      <c r="C25" s="24">
        <f t="shared" si="7"/>
        <v>0.82567586894863909</v>
      </c>
      <c r="D25" s="24">
        <f t="shared" si="7"/>
        <v>0.82581282212936269</v>
      </c>
      <c r="E25" s="24">
        <f t="shared" si="7"/>
        <v>0.82593963063003273</v>
      </c>
      <c r="F25" s="24">
        <f t="shared" si="7"/>
        <v>0.82605704590843076</v>
      </c>
      <c r="G25" s="24">
        <f t="shared" si="7"/>
        <v>0.82616576375879947</v>
      </c>
      <c r="H25" s="24">
        <f t="shared" si="7"/>
        <v>0.8262664284350667</v>
      </c>
      <c r="I25" s="24">
        <f t="shared" si="7"/>
        <v>0.82635963646864752</v>
      </c>
      <c r="J25" s="24">
        <f t="shared" si="7"/>
        <v>0.82644594020344453</v>
      </c>
      <c r="K25" s="24">
        <f t="shared" si="7"/>
        <v>0.82652585106899734</v>
      </c>
      <c r="L25" s="24">
        <f t="shared" si="7"/>
        <v>0.82659984261117581</v>
      </c>
      <c r="M25" s="24">
        <f t="shared" si="7"/>
        <v>0.82666835329837818</v>
      </c>
    </row>
    <row r="27" spans="1:13">
      <c r="A27" s="4" t="s">
        <v>70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>
      <c r="A28" s="6" t="s">
        <v>60</v>
      </c>
      <c r="B28" s="18">
        <f>Assumptions!D32</f>
        <v>400</v>
      </c>
      <c r="C28" s="19">
        <f>B28*(1+Assumptions!$D$26)</f>
        <v>420</v>
      </c>
      <c r="D28" s="19">
        <f>C28*(1+Assumptions!$D$26)</f>
        <v>441</v>
      </c>
      <c r="E28" s="19">
        <f>D28*(1+Assumptions!$D$26)</f>
        <v>463.05</v>
      </c>
      <c r="F28" s="19">
        <f>E28*(1+Assumptions!$D$26)</f>
        <v>486.20250000000004</v>
      </c>
      <c r="G28" s="19">
        <f>F28*(1+Assumptions!$D$26)</f>
        <v>510.51262500000007</v>
      </c>
      <c r="H28" s="19">
        <f>G28*(1+Assumptions!$D$26)</f>
        <v>536.03825625000013</v>
      </c>
      <c r="I28" s="19">
        <f>H28*(1+Assumptions!$D$26)</f>
        <v>562.84016906250019</v>
      </c>
      <c r="J28" s="19">
        <f>I28*(1+Assumptions!$D$26)</f>
        <v>590.98217751562527</v>
      </c>
      <c r="K28" s="19">
        <f>J28*(1+Assumptions!$D$26)</f>
        <v>620.53128639140652</v>
      </c>
      <c r="L28" s="19">
        <f>K28*(1+Assumptions!$D$26)</f>
        <v>651.55785071097682</v>
      </c>
      <c r="M28" s="19">
        <f>L28*(1+Assumptions!$D$26)</f>
        <v>684.13574324652575</v>
      </c>
    </row>
    <row r="29" spans="1:13">
      <c r="A29" s="6" t="s">
        <v>61</v>
      </c>
      <c r="B29" s="19">
        <f>B28</f>
        <v>400</v>
      </c>
      <c r="C29" s="19">
        <f t="shared" ref="C29:M29" si="8">C28-B28</f>
        <v>20</v>
      </c>
      <c r="D29" s="19">
        <f t="shared" si="8"/>
        <v>21</v>
      </c>
      <c r="E29" s="19">
        <f t="shared" si="8"/>
        <v>22.050000000000011</v>
      </c>
      <c r="F29" s="19">
        <f t="shared" si="8"/>
        <v>23.152500000000032</v>
      </c>
      <c r="G29" s="19">
        <f t="shared" si="8"/>
        <v>24.310125000000028</v>
      </c>
      <c r="H29" s="19">
        <f t="shared" si="8"/>
        <v>25.52563125000006</v>
      </c>
      <c r="I29" s="19">
        <f t="shared" si="8"/>
        <v>26.801912812500063</v>
      </c>
      <c r="J29" s="19">
        <f t="shared" si="8"/>
        <v>28.142008453125072</v>
      </c>
      <c r="K29" s="19">
        <f t="shared" si="8"/>
        <v>29.549108875781258</v>
      </c>
      <c r="L29" s="19">
        <f t="shared" si="8"/>
        <v>31.026564319570298</v>
      </c>
      <c r="M29" s="19">
        <f t="shared" si="8"/>
        <v>32.577892535548926</v>
      </c>
    </row>
    <row r="30" spans="1:13">
      <c r="A30" s="20" t="s">
        <v>62</v>
      </c>
      <c r="B30" s="10">
        <f>B28*Assumptions!$D$31</f>
        <v>5999600</v>
      </c>
      <c r="C30" s="10">
        <f>C28*Assumptions!$D$31</f>
        <v>6299580</v>
      </c>
      <c r="D30" s="10">
        <f>D28*Assumptions!$D$31</f>
        <v>6614559</v>
      </c>
      <c r="E30" s="10">
        <f>E28*Assumptions!$D$31</f>
        <v>6945286.9500000002</v>
      </c>
      <c r="F30" s="10">
        <f>F28*Assumptions!$D$31</f>
        <v>7292551.2975000003</v>
      </c>
      <c r="G30" s="10">
        <f>G28*Assumptions!$D$31</f>
        <v>7657178.8623750014</v>
      </c>
      <c r="H30" s="10">
        <f>H28*Assumptions!$D$31</f>
        <v>8040037.8054937515</v>
      </c>
      <c r="I30" s="10">
        <f>I28*Assumptions!$D$31</f>
        <v>8442039.6957684401</v>
      </c>
      <c r="J30" s="10">
        <f>J28*Assumptions!$D$31</f>
        <v>8864141.6805568635</v>
      </c>
      <c r="K30" s="10">
        <f>K28*Assumptions!$D$31</f>
        <v>9307348.7645847071</v>
      </c>
      <c r="L30" s="10">
        <f>L28*Assumptions!$D$31</f>
        <v>9772716.202813942</v>
      </c>
      <c r="M30" s="10">
        <f>M28*Assumptions!$D$31</f>
        <v>10261352.012954639</v>
      </c>
    </row>
    <row r="31" spans="1:13">
      <c r="A31" s="6" t="s">
        <v>63</v>
      </c>
      <c r="B31" s="19">
        <f>B28*Assumptions!$B$16</f>
        <v>480000</v>
      </c>
      <c r="C31" s="19">
        <f>C28*Assumptions!$B$16</f>
        <v>504000</v>
      </c>
      <c r="D31" s="19">
        <f>D28*Assumptions!$B$16</f>
        <v>529200</v>
      </c>
      <c r="E31" s="19">
        <f>E28*Assumptions!$B$16</f>
        <v>555660</v>
      </c>
      <c r="F31" s="19">
        <f>F28*Assumptions!$B$16</f>
        <v>583443</v>
      </c>
      <c r="G31" s="19">
        <f>G28*Assumptions!$B$16</f>
        <v>612615.15000000014</v>
      </c>
      <c r="H31" s="19">
        <f>H28*Assumptions!$B$16</f>
        <v>643245.9075000002</v>
      </c>
      <c r="I31" s="19">
        <f>I28*Assumptions!$B$16</f>
        <v>675408.20287500019</v>
      </c>
      <c r="J31" s="19">
        <f>J28*Assumptions!$B$16</f>
        <v>709178.61301875033</v>
      </c>
      <c r="K31" s="19">
        <f>K28*Assumptions!$B$16</f>
        <v>744637.54366968782</v>
      </c>
      <c r="L31" s="19">
        <f>L28*Assumptions!$B$16</f>
        <v>781869.4208531722</v>
      </c>
      <c r="M31" s="19">
        <f>M28*Assumptions!$B$16</f>
        <v>820962.89189583086</v>
      </c>
    </row>
    <row r="32" spans="1:13">
      <c r="A32" s="6" t="s">
        <v>64</v>
      </c>
      <c r="B32" s="19">
        <f>B29*Assumptions!$B$17</f>
        <v>970000</v>
      </c>
      <c r="C32" s="19">
        <f>C29*Assumptions!$B$17</f>
        <v>48500</v>
      </c>
      <c r="D32" s="19">
        <f>D29*Assumptions!$B$17</f>
        <v>50925</v>
      </c>
      <c r="E32" s="19">
        <f>E29*Assumptions!$B$17</f>
        <v>53471.250000000029</v>
      </c>
      <c r="F32" s="19">
        <f>F29*Assumptions!$B$17</f>
        <v>56144.81250000008</v>
      </c>
      <c r="G32" s="19">
        <f>G29*Assumptions!$B$17</f>
        <v>58952.053125000064</v>
      </c>
      <c r="H32" s="19">
        <f>H29*Assumptions!$B$17</f>
        <v>61899.655781250149</v>
      </c>
      <c r="I32" s="19">
        <f>I29*Assumptions!$B$17</f>
        <v>64994.638570312651</v>
      </c>
      <c r="J32" s="19">
        <f>J29*Assumptions!$B$17</f>
        <v>68244.370498828299</v>
      </c>
      <c r="K32" s="19">
        <f>K29*Assumptions!$B$17</f>
        <v>71656.589023769557</v>
      </c>
      <c r="L32" s="19">
        <f>L29*Assumptions!$B$17</f>
        <v>75239.418474957973</v>
      </c>
      <c r="M32" s="19">
        <f>M29*Assumptions!$B$17</f>
        <v>79001.389398706146</v>
      </c>
    </row>
    <row r="33" spans="1:13">
      <c r="A33" s="6" t="s">
        <v>65</v>
      </c>
      <c r="B33" s="19">
        <f>Assumptions!$B$11/3</f>
        <v>12777.777777777779</v>
      </c>
      <c r="C33" s="19">
        <f>Assumptions!$B$11/3</f>
        <v>12777.777777777779</v>
      </c>
      <c r="D33" s="19">
        <f>Assumptions!$B$11/3</f>
        <v>12777.777777777779</v>
      </c>
      <c r="E33" s="19">
        <f>Assumptions!$B$11/3</f>
        <v>12777.777777777779</v>
      </c>
      <c r="F33" s="19">
        <f>Assumptions!$B$11/3</f>
        <v>12777.777777777779</v>
      </c>
      <c r="G33" s="19">
        <f>Assumptions!$B$11/3</f>
        <v>12777.777777777779</v>
      </c>
      <c r="H33" s="19">
        <f>Assumptions!$B$11/3</f>
        <v>12777.777777777779</v>
      </c>
      <c r="I33" s="19">
        <f>Assumptions!$B$11/3</f>
        <v>12777.777777777779</v>
      </c>
      <c r="J33" s="19">
        <f>Assumptions!$B$11/3</f>
        <v>12777.777777777779</v>
      </c>
      <c r="K33" s="19">
        <f>Assumptions!$B$11/3</f>
        <v>12777.777777777779</v>
      </c>
      <c r="L33" s="19">
        <f>Assumptions!$B$11/3</f>
        <v>12777.777777777779</v>
      </c>
      <c r="M33" s="19">
        <f>Assumptions!$B$11/3</f>
        <v>12777.777777777779</v>
      </c>
    </row>
    <row r="34" spans="1:13">
      <c r="A34" s="21" t="s">
        <v>66</v>
      </c>
      <c r="B34" s="22">
        <f t="shared" ref="B34:M34" si="9">SUM(B31:B33)</f>
        <v>1462777.7777777778</v>
      </c>
      <c r="C34" s="22">
        <f t="shared" si="9"/>
        <v>565277.77777777775</v>
      </c>
      <c r="D34" s="22">
        <f t="shared" si="9"/>
        <v>592902.77777777775</v>
      </c>
      <c r="E34" s="22">
        <f t="shared" si="9"/>
        <v>621909.02777777775</v>
      </c>
      <c r="F34" s="22">
        <f t="shared" si="9"/>
        <v>652365.59027777787</v>
      </c>
      <c r="G34" s="22">
        <f t="shared" si="9"/>
        <v>684344.98090277798</v>
      </c>
      <c r="H34" s="22">
        <f t="shared" si="9"/>
        <v>717923.34105902805</v>
      </c>
      <c r="I34" s="22">
        <f t="shared" si="9"/>
        <v>753180.61922309059</v>
      </c>
      <c r="J34" s="22">
        <f t="shared" si="9"/>
        <v>790200.76129535632</v>
      </c>
      <c r="K34" s="22">
        <f t="shared" si="9"/>
        <v>829071.91047123517</v>
      </c>
      <c r="L34" s="22">
        <f t="shared" si="9"/>
        <v>869886.61710590788</v>
      </c>
      <c r="M34" s="22">
        <f t="shared" si="9"/>
        <v>912742.05907231476</v>
      </c>
    </row>
    <row r="35" spans="1:13">
      <c r="A35" s="20" t="s">
        <v>67</v>
      </c>
      <c r="B35" s="23">
        <f t="shared" ref="B35:M35" si="10">B30-B34</f>
        <v>4536822.222222222</v>
      </c>
      <c r="C35" s="23">
        <f t="shared" si="10"/>
        <v>5734302.222222222</v>
      </c>
      <c r="D35" s="23">
        <f t="shared" si="10"/>
        <v>6021656.222222222</v>
      </c>
      <c r="E35" s="23">
        <f t="shared" si="10"/>
        <v>6323377.9222222222</v>
      </c>
      <c r="F35" s="23">
        <f t="shared" si="10"/>
        <v>6640185.7072222224</v>
      </c>
      <c r="G35" s="23">
        <f t="shared" si="10"/>
        <v>6972833.8814722234</v>
      </c>
      <c r="H35" s="23">
        <f t="shared" si="10"/>
        <v>7322114.4644347234</v>
      </c>
      <c r="I35" s="23">
        <f t="shared" si="10"/>
        <v>7688859.0765453493</v>
      </c>
      <c r="J35" s="23">
        <f t="shared" si="10"/>
        <v>8073940.9192615077</v>
      </c>
      <c r="K35" s="23">
        <f t="shared" si="10"/>
        <v>8478276.8541134726</v>
      </c>
      <c r="L35" s="23">
        <f t="shared" si="10"/>
        <v>8902829.5857080333</v>
      </c>
      <c r="M35" s="23">
        <f t="shared" si="10"/>
        <v>9348609.9538823254</v>
      </c>
    </row>
    <row r="36" spans="1:13">
      <c r="A36" s="6" t="s">
        <v>68</v>
      </c>
      <c r="B36" s="24">
        <f t="shared" ref="B36:M36" si="11">IF(B30=0,0,B35/B30)</f>
        <v>0.75618744953367256</v>
      </c>
      <c r="C36" s="24">
        <f t="shared" si="11"/>
        <v>0.91026738643246408</v>
      </c>
      <c r="D36" s="24">
        <f t="shared" si="11"/>
        <v>0.91036397471429642</v>
      </c>
      <c r="E36" s="24">
        <f t="shared" si="11"/>
        <v>0.91045596355413683</v>
      </c>
      <c r="F36" s="24">
        <f t="shared" si="11"/>
        <v>0.91054357197303237</v>
      </c>
      <c r="G36" s="24">
        <f t="shared" si="11"/>
        <v>0.91062700856245682</v>
      </c>
      <c r="H36" s="24">
        <f t="shared" si="11"/>
        <v>0.91070647198095611</v>
      </c>
      <c r="I36" s="24">
        <f t="shared" si="11"/>
        <v>0.91078215142714603</v>
      </c>
      <c r="J36" s="24">
        <f t="shared" si="11"/>
        <v>0.91085422709018415</v>
      </c>
      <c r="K36" s="24">
        <f t="shared" si="11"/>
        <v>0.91092287057879173</v>
      </c>
      <c r="L36" s="24">
        <f t="shared" si="11"/>
        <v>0.91098824532984646</v>
      </c>
      <c r="M36" s="24">
        <f t="shared" si="11"/>
        <v>0.91105050699751799</v>
      </c>
    </row>
    <row r="38" spans="1:13">
      <c r="A38" s="25" t="s">
        <v>71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spans="1:13">
      <c r="A39" s="6" t="s">
        <v>72</v>
      </c>
      <c r="B39" s="19">
        <f t="shared" ref="B39:M39" si="12">B6+B17+B28</f>
        <v>2400</v>
      </c>
      <c r="C39" s="19">
        <f t="shared" si="12"/>
        <v>2604</v>
      </c>
      <c r="D39" s="19">
        <f t="shared" si="12"/>
        <v>2826.1200000000003</v>
      </c>
      <c r="E39" s="19">
        <f t="shared" si="12"/>
        <v>3068.0196000000005</v>
      </c>
      <c r="F39" s="19">
        <f t="shared" si="12"/>
        <v>3331.513668000001</v>
      </c>
      <c r="G39" s="19">
        <f t="shared" si="12"/>
        <v>3618.5870864400013</v>
      </c>
      <c r="H39" s="19">
        <f t="shared" si="12"/>
        <v>3931.4109146052015</v>
      </c>
      <c r="I39" s="19">
        <f t="shared" si="12"/>
        <v>4272.3601040861176</v>
      </c>
      <c r="J39" s="19">
        <f t="shared" si="12"/>
        <v>4644.0329177411322</v>
      </c>
      <c r="K39" s="19">
        <f t="shared" si="12"/>
        <v>5049.2722172749554</v>
      </c>
      <c r="L39" s="19">
        <f t="shared" si="12"/>
        <v>5491.188800649209</v>
      </c>
      <c r="M39" s="19">
        <f t="shared" si="12"/>
        <v>5973.1869882222172</v>
      </c>
    </row>
    <row r="40" spans="1:13">
      <c r="A40" s="6" t="s">
        <v>73</v>
      </c>
      <c r="B40" s="19">
        <f t="shared" ref="B40:M40" si="13">B7+B18+B29</f>
        <v>2400</v>
      </c>
      <c r="C40" s="19">
        <f t="shared" si="13"/>
        <v>204</v>
      </c>
      <c r="D40" s="19">
        <f t="shared" si="13"/>
        <v>222.12000000000035</v>
      </c>
      <c r="E40" s="19">
        <f t="shared" si="13"/>
        <v>241.89960000000013</v>
      </c>
      <c r="F40" s="19">
        <f t="shared" si="13"/>
        <v>263.49406800000042</v>
      </c>
      <c r="G40" s="19">
        <f t="shared" si="13"/>
        <v>287.07341844000035</v>
      </c>
      <c r="H40" s="19">
        <f t="shared" si="13"/>
        <v>312.82382816520021</v>
      </c>
      <c r="I40" s="19">
        <f t="shared" si="13"/>
        <v>340.94918948091629</v>
      </c>
      <c r="J40" s="19">
        <f t="shared" si="13"/>
        <v>371.67281365501481</v>
      </c>
      <c r="K40" s="19">
        <f t="shared" si="13"/>
        <v>405.23929953382208</v>
      </c>
      <c r="L40" s="19">
        <f t="shared" si="13"/>
        <v>441.91658337425451</v>
      </c>
      <c r="M40" s="19">
        <f t="shared" si="13"/>
        <v>481.99818757300818</v>
      </c>
    </row>
    <row r="41" spans="1:13">
      <c r="A41" s="20" t="s">
        <v>74</v>
      </c>
      <c r="B41" s="10">
        <f t="shared" ref="B41:M41" si="14">B8+B19+B30</f>
        <v>17197600</v>
      </c>
      <c r="C41" s="10">
        <f t="shared" si="14"/>
        <v>18489396</v>
      </c>
      <c r="D41" s="10">
        <f t="shared" si="14"/>
        <v>19885133.880000003</v>
      </c>
      <c r="E41" s="10">
        <f t="shared" si="14"/>
        <v>21393638.780400001</v>
      </c>
      <c r="F41" s="10">
        <f t="shared" si="14"/>
        <v>23024515.330332004</v>
      </c>
      <c r="G41" s="10">
        <f t="shared" si="14"/>
        <v>24788218.47943357</v>
      </c>
      <c r="H41" s="10">
        <f t="shared" si="14"/>
        <v>26696130.899677001</v>
      </c>
      <c r="I41" s="10">
        <f t="shared" si="14"/>
        <v>28760647.576022349</v>
      </c>
      <c r="J41" s="10">
        <f t="shared" si="14"/>
        <v>30995268.26362069</v>
      </c>
      <c r="K41" s="10">
        <f t="shared" si="14"/>
        <v>33414698.553922199</v>
      </c>
      <c r="L41" s="10">
        <f t="shared" si="14"/>
        <v>36034960.362889856</v>
      </c>
      <c r="M41" s="10">
        <f t="shared" si="14"/>
        <v>38873512.732187189</v>
      </c>
    </row>
    <row r="42" spans="1:13">
      <c r="A42" s="6" t="s">
        <v>75</v>
      </c>
      <c r="B42" s="19">
        <f t="shared" ref="B42:M42" si="15">B9+B20+B31</f>
        <v>2880000</v>
      </c>
      <c r="C42" s="19">
        <f t="shared" si="15"/>
        <v>3124800</v>
      </c>
      <c r="D42" s="19">
        <f t="shared" si="15"/>
        <v>3391344.0000000005</v>
      </c>
      <c r="E42" s="19">
        <f t="shared" si="15"/>
        <v>3681623.5200000005</v>
      </c>
      <c r="F42" s="19">
        <f t="shared" si="15"/>
        <v>3997816.4016000009</v>
      </c>
      <c r="G42" s="19">
        <f t="shared" si="15"/>
        <v>4342304.5037280014</v>
      </c>
      <c r="H42" s="19">
        <f t="shared" si="15"/>
        <v>4717693.097526242</v>
      </c>
      <c r="I42" s="19">
        <f t="shared" si="15"/>
        <v>5126832.1249033418</v>
      </c>
      <c r="J42" s="19">
        <f t="shared" si="15"/>
        <v>5572839.5012893593</v>
      </c>
      <c r="K42" s="19">
        <f t="shared" si="15"/>
        <v>6059126.6607299456</v>
      </c>
      <c r="L42" s="19">
        <f t="shared" si="15"/>
        <v>6589426.5607790509</v>
      </c>
      <c r="M42" s="19">
        <f t="shared" si="15"/>
        <v>7167824.3858666606</v>
      </c>
    </row>
    <row r="43" spans="1:13">
      <c r="A43" s="6" t="s">
        <v>76</v>
      </c>
      <c r="B43" s="19">
        <f t="shared" ref="B43:M43" si="16">B10+B21+B32</f>
        <v>5820000</v>
      </c>
      <c r="C43" s="19">
        <f t="shared" si="16"/>
        <v>494700</v>
      </c>
      <c r="D43" s="19">
        <f t="shared" si="16"/>
        <v>538641.00000000081</v>
      </c>
      <c r="E43" s="19">
        <f t="shared" si="16"/>
        <v>586606.53000000026</v>
      </c>
      <c r="F43" s="19">
        <f t="shared" si="16"/>
        <v>638973.11490000109</v>
      </c>
      <c r="G43" s="19">
        <f t="shared" si="16"/>
        <v>696153.03971700091</v>
      </c>
      <c r="H43" s="19">
        <f t="shared" si="16"/>
        <v>758597.78330061038</v>
      </c>
      <c r="I43" s="19">
        <f t="shared" si="16"/>
        <v>826801.784491222</v>
      </c>
      <c r="J43" s="19">
        <f t="shared" si="16"/>
        <v>901306.57311341097</v>
      </c>
      <c r="K43" s="19">
        <f t="shared" si="16"/>
        <v>982705.30136951851</v>
      </c>
      <c r="L43" s="19">
        <f t="shared" si="16"/>
        <v>1071647.7146825672</v>
      </c>
      <c r="M43" s="19">
        <f t="shared" si="16"/>
        <v>1168845.6048645447</v>
      </c>
    </row>
    <row r="44" spans="1:13">
      <c r="A44" s="6" t="s">
        <v>77</v>
      </c>
      <c r="B44" s="19">
        <f>Assumptions!$B$11</f>
        <v>38333.333333333336</v>
      </c>
      <c r="C44" s="19">
        <f>Assumptions!$B$11</f>
        <v>38333.333333333336</v>
      </c>
      <c r="D44" s="19">
        <f>Assumptions!$B$11</f>
        <v>38333.333333333336</v>
      </c>
      <c r="E44" s="19">
        <f>Assumptions!$B$11</f>
        <v>38333.333333333336</v>
      </c>
      <c r="F44" s="19">
        <f>Assumptions!$B$11</f>
        <v>38333.333333333336</v>
      </c>
      <c r="G44" s="19">
        <f>Assumptions!$B$11</f>
        <v>38333.333333333336</v>
      </c>
      <c r="H44" s="19">
        <f>Assumptions!$B$11</f>
        <v>38333.333333333336</v>
      </c>
      <c r="I44" s="19">
        <f>Assumptions!$B$11</f>
        <v>38333.333333333336</v>
      </c>
      <c r="J44" s="19">
        <f>Assumptions!$B$11</f>
        <v>38333.333333333336</v>
      </c>
      <c r="K44" s="19">
        <f>Assumptions!$B$11</f>
        <v>38333.333333333336</v>
      </c>
      <c r="L44" s="19">
        <f>Assumptions!$B$11</f>
        <v>38333.333333333336</v>
      </c>
      <c r="M44" s="19">
        <f>Assumptions!$B$11</f>
        <v>38333.333333333336</v>
      </c>
    </row>
    <row r="45" spans="1:13">
      <c r="A45" s="21" t="s">
        <v>66</v>
      </c>
      <c r="B45" s="22">
        <f t="shared" ref="B45:M45" si="17">B42+B43+B44</f>
        <v>8738333.333333334</v>
      </c>
      <c r="C45" s="22">
        <f t="shared" si="17"/>
        <v>3657833.3333333335</v>
      </c>
      <c r="D45" s="22">
        <f t="shared" si="17"/>
        <v>3968318.3333333349</v>
      </c>
      <c r="E45" s="22">
        <f t="shared" si="17"/>
        <v>4306563.3833333338</v>
      </c>
      <c r="F45" s="22">
        <f t="shared" si="17"/>
        <v>4675122.8498333348</v>
      </c>
      <c r="G45" s="22">
        <f t="shared" si="17"/>
        <v>5076790.8767783353</v>
      </c>
      <c r="H45" s="22">
        <f t="shared" si="17"/>
        <v>5514624.2141601853</v>
      </c>
      <c r="I45" s="22">
        <f t="shared" si="17"/>
        <v>5991967.2427278971</v>
      </c>
      <c r="J45" s="22">
        <f t="shared" si="17"/>
        <v>6512479.4077361031</v>
      </c>
      <c r="K45" s="22">
        <f t="shared" si="17"/>
        <v>7080165.2954327976</v>
      </c>
      <c r="L45" s="22">
        <f t="shared" si="17"/>
        <v>7699407.6087949509</v>
      </c>
      <c r="M45" s="22">
        <f t="shared" si="17"/>
        <v>8375003.3240645388</v>
      </c>
    </row>
    <row r="46" spans="1:13">
      <c r="A46" s="20" t="s">
        <v>78</v>
      </c>
      <c r="B46" s="23">
        <f t="shared" ref="B46:M46" si="18">B41-B45</f>
        <v>8459266.666666666</v>
      </c>
      <c r="C46" s="23">
        <f t="shared" si="18"/>
        <v>14831562.666666666</v>
      </c>
      <c r="D46" s="23">
        <f t="shared" si="18"/>
        <v>15916815.546666667</v>
      </c>
      <c r="E46" s="23">
        <f t="shared" si="18"/>
        <v>17087075.397066668</v>
      </c>
      <c r="F46" s="23">
        <f t="shared" si="18"/>
        <v>18349392.480498668</v>
      </c>
      <c r="G46" s="23">
        <f t="shared" si="18"/>
        <v>19711427.602655236</v>
      </c>
      <c r="H46" s="23">
        <f t="shared" si="18"/>
        <v>21181506.685516816</v>
      </c>
      <c r="I46" s="23">
        <f t="shared" si="18"/>
        <v>22768680.333294451</v>
      </c>
      <c r="J46" s="23">
        <f t="shared" si="18"/>
        <v>24482788.855884586</v>
      </c>
      <c r="K46" s="23">
        <f t="shared" si="18"/>
        <v>26334533.2584894</v>
      </c>
      <c r="L46" s="23">
        <f t="shared" si="18"/>
        <v>28335552.754094906</v>
      </c>
      <c r="M46" s="23">
        <f t="shared" si="18"/>
        <v>30498509.408122651</v>
      </c>
    </row>
    <row r="47" spans="1:13">
      <c r="A47" s="6" t="s">
        <v>79</v>
      </c>
      <c r="B47" s="24">
        <f t="shared" ref="B47:M47" si="19">IF(B41=0,0,B46/B41)</f>
        <v>0.491886464778031</v>
      </c>
      <c r="C47" s="24">
        <f t="shared" si="19"/>
        <v>0.802165882902106</v>
      </c>
      <c r="D47" s="24">
        <f t="shared" si="19"/>
        <v>0.80043793734149427</v>
      </c>
      <c r="E47" s="24">
        <f t="shared" si="19"/>
        <v>0.7986988829932552</v>
      </c>
      <c r="F47" s="24">
        <f t="shared" si="19"/>
        <v>0.79695021663824428</v>
      </c>
      <c r="G47" s="24">
        <f t="shared" si="19"/>
        <v>0.79519339475765571</v>
      </c>
      <c r="H47" s="24">
        <f t="shared" si="19"/>
        <v>0.79342983315133098</v>
      </c>
      <c r="I47" s="24">
        <f t="shared" si="19"/>
        <v>0.79166090656027577</v>
      </c>
      <c r="J47" s="24">
        <f t="shared" si="19"/>
        <v>0.7898879483040373</v>
      </c>
      <c r="K47" s="24">
        <f t="shared" si="19"/>
        <v>0.78811224994272067</v>
      </c>
      <c r="L47" s="24">
        <f t="shared" si="19"/>
        <v>0.78633506097250805</v>
      </c>
      <c r="M47" s="24">
        <f t="shared" si="19"/>
        <v>0.78455758856260882</v>
      </c>
    </row>
    <row r="48" spans="1:13">
      <c r="A48" s="27" t="s">
        <v>80</v>
      </c>
      <c r="B48" s="28">
        <f>B46</f>
        <v>8459266.666666666</v>
      </c>
      <c r="C48" s="28">
        <f t="shared" ref="C48:M48" si="20">B48+C46</f>
        <v>23290829.333333332</v>
      </c>
      <c r="D48" s="28">
        <f t="shared" si="20"/>
        <v>39207644.879999995</v>
      </c>
      <c r="E48" s="28">
        <f t="shared" si="20"/>
        <v>56294720.277066663</v>
      </c>
      <c r="F48" s="28">
        <f t="shared" si="20"/>
        <v>74644112.757565334</v>
      </c>
      <c r="G48" s="28">
        <f t="shared" si="20"/>
        <v>94355540.360220566</v>
      </c>
      <c r="H48" s="28">
        <f t="shared" si="20"/>
        <v>115537047.04573739</v>
      </c>
      <c r="I48" s="28">
        <f t="shared" si="20"/>
        <v>138305727.37903184</v>
      </c>
      <c r="J48" s="28">
        <f t="shared" si="20"/>
        <v>162788516.23491642</v>
      </c>
      <c r="K48" s="28">
        <f t="shared" si="20"/>
        <v>189123049.49340582</v>
      </c>
      <c r="L48" s="28">
        <f t="shared" si="20"/>
        <v>217458602.24750072</v>
      </c>
      <c r="M48" s="28">
        <f t="shared" si="20"/>
        <v>247957111.65562338</v>
      </c>
    </row>
    <row r="49" spans="1:13">
      <c r="A49" s="21" t="s">
        <v>81</v>
      </c>
      <c r="B49" s="29">
        <f>Assumptions!$B$38</f>
        <v>2500000</v>
      </c>
      <c r="C49" s="29">
        <f>Assumptions!$B$38</f>
        <v>2500000</v>
      </c>
      <c r="D49" s="29">
        <f>Assumptions!$B$38</f>
        <v>2500000</v>
      </c>
      <c r="E49" s="29">
        <f>Assumptions!$B$38</f>
        <v>2500000</v>
      </c>
      <c r="F49" s="29">
        <f>Assumptions!$B$38</f>
        <v>2500000</v>
      </c>
      <c r="G49" s="29">
        <f>Assumptions!$B$38</f>
        <v>2500000</v>
      </c>
      <c r="H49" s="29">
        <f>Assumptions!$B$38</f>
        <v>2500000</v>
      </c>
      <c r="I49" s="29">
        <f>Assumptions!$B$38</f>
        <v>2500000</v>
      </c>
      <c r="J49" s="29">
        <f>Assumptions!$B$38</f>
        <v>2500000</v>
      </c>
      <c r="K49" s="29">
        <f>Assumptions!$B$38</f>
        <v>2500000</v>
      </c>
      <c r="L49" s="29">
        <f>Assumptions!$B$38</f>
        <v>2500000</v>
      </c>
      <c r="M49" s="29">
        <f>Assumptions!$B$38</f>
        <v>2500000</v>
      </c>
    </row>
    <row r="50" spans="1:13">
      <c r="A50" s="30" t="s">
        <v>82</v>
      </c>
      <c r="B50" s="31">
        <f>B48-B49</f>
        <v>5959266.666666666</v>
      </c>
      <c r="C50" s="31">
        <f t="shared" ref="B50:M50" si="21">C48-C49</f>
        <v>20790829.333333332</v>
      </c>
      <c r="D50" s="31">
        <f t="shared" si="21"/>
        <v>36707644.879999995</v>
      </c>
      <c r="E50" s="31">
        <f t="shared" si="21"/>
        <v>53794720.277066663</v>
      </c>
      <c r="F50" s="31">
        <f t="shared" si="21"/>
        <v>72144112.757565334</v>
      </c>
      <c r="G50" s="31">
        <f t="shared" si="21"/>
        <v>91855540.360220566</v>
      </c>
      <c r="H50" s="31">
        <f t="shared" si="21"/>
        <v>113037047.04573739</v>
      </c>
      <c r="I50" s="31">
        <f t="shared" si="21"/>
        <v>135805727.37903184</v>
      </c>
      <c r="J50" s="31">
        <f t="shared" si="21"/>
        <v>160288516.23491642</v>
      </c>
      <c r="K50" s="31">
        <f t="shared" si="21"/>
        <v>186623049.49340582</v>
      </c>
      <c r="L50" s="31">
        <f t="shared" si="21"/>
        <v>214958602.24750072</v>
      </c>
      <c r="M50" s="31">
        <f t="shared" si="21"/>
        <v>245457111.65562338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E24"/>
  <sheetViews>
    <sheetView zoomScaleNormal="100" workbookViewId="0">
      <selection activeCell="B1" sqref="B1"/>
    </sheetView>
  </sheetViews>
  <sheetFormatPr defaultColWidth="8.4609375" defaultRowHeight="15.5"/>
  <cols>
    <col min="1" max="1" width="30" style="1" customWidth="1"/>
    <col min="2" max="5" width="18" style="1" customWidth="1"/>
  </cols>
  <sheetData>
    <row r="1" spans="1:4" ht="18">
      <c r="A1" s="2" t="s">
        <v>83</v>
      </c>
    </row>
    <row r="2" spans="1:4">
      <c r="A2" s="3" t="s">
        <v>84</v>
      </c>
    </row>
    <row r="4" spans="1:4">
      <c r="A4" s="16" t="s">
        <v>85</v>
      </c>
      <c r="B4" s="16" t="s">
        <v>86</v>
      </c>
      <c r="C4" s="32" t="s">
        <v>87</v>
      </c>
      <c r="D4" s="33" t="s">
        <v>88</v>
      </c>
    </row>
    <row r="5" spans="1:4">
      <c r="A5" s="6" t="s">
        <v>89</v>
      </c>
      <c r="B5" s="18">
        <f>Assumptions!B25</f>
        <v>1200</v>
      </c>
      <c r="C5" s="12">
        <f>B5*1.2</f>
        <v>1440</v>
      </c>
      <c r="D5" s="12">
        <f>B5*0.75</f>
        <v>900</v>
      </c>
    </row>
    <row r="6" spans="1:4">
      <c r="A6" s="6" t="s">
        <v>90</v>
      </c>
      <c r="B6" s="34">
        <f>Assumptions!B26</f>
        <v>0.1</v>
      </c>
      <c r="C6" s="14">
        <v>0.15</v>
      </c>
      <c r="D6" s="14">
        <v>0.05</v>
      </c>
    </row>
    <row r="7" spans="1:4">
      <c r="A7" s="6" t="s">
        <v>91</v>
      </c>
      <c r="B7" s="18">
        <f>Assumptions!B20</f>
        <v>3999</v>
      </c>
      <c r="C7" s="19">
        <f>B7</f>
        <v>3999</v>
      </c>
      <c r="D7" s="12">
        <f>B7*0.85</f>
        <v>3399.15</v>
      </c>
    </row>
    <row r="8" spans="1:4">
      <c r="A8" s="6" t="s">
        <v>92</v>
      </c>
      <c r="B8" s="18">
        <f>Assumptions!C25</f>
        <v>800</v>
      </c>
      <c r="C8" s="12">
        <f>B8*1.2</f>
        <v>960</v>
      </c>
      <c r="D8" s="12">
        <f>B8*0.75</f>
        <v>600</v>
      </c>
    </row>
    <row r="9" spans="1:4">
      <c r="A9" s="6" t="s">
        <v>93</v>
      </c>
      <c r="B9" s="34">
        <f>Assumptions!C26</f>
        <v>0.08</v>
      </c>
      <c r="C9" s="14">
        <v>0.12</v>
      </c>
      <c r="D9" s="14">
        <v>0.04</v>
      </c>
    </row>
    <row r="10" spans="1:4">
      <c r="A10" s="6" t="s">
        <v>94</v>
      </c>
      <c r="B10" s="18">
        <f>Assumptions!B21</f>
        <v>7999</v>
      </c>
      <c r="C10" s="19">
        <f>B10</f>
        <v>7999</v>
      </c>
      <c r="D10" s="12">
        <f>B10*0.85</f>
        <v>6799.15</v>
      </c>
    </row>
    <row r="11" spans="1:4">
      <c r="A11" s="6" t="s">
        <v>95</v>
      </c>
      <c r="B11" s="18">
        <f>Assumptions!D25</f>
        <v>400</v>
      </c>
      <c r="C11" s="12">
        <f>B11*1.15</f>
        <v>459.99999999999994</v>
      </c>
      <c r="D11" s="12">
        <f>B11*0.7</f>
        <v>280</v>
      </c>
    </row>
    <row r="12" spans="1:4">
      <c r="A12" s="6" t="s">
        <v>96</v>
      </c>
      <c r="B12" s="34">
        <f>Assumptions!D26</f>
        <v>0.05</v>
      </c>
      <c r="C12" s="14">
        <v>0.08</v>
      </c>
      <c r="D12" s="14">
        <v>0.02</v>
      </c>
    </row>
    <row r="13" spans="1:4">
      <c r="A13" s="6" t="s">
        <v>97</v>
      </c>
      <c r="B13" s="18">
        <f>Assumptions!B22</f>
        <v>14999</v>
      </c>
      <c r="C13" s="19">
        <f>B13</f>
        <v>14999</v>
      </c>
      <c r="D13" s="12">
        <f>B13*0.85</f>
        <v>12749.15</v>
      </c>
    </row>
    <row r="15" spans="1:4">
      <c r="A15" s="4" t="s">
        <v>98</v>
      </c>
      <c r="B15" s="17"/>
      <c r="C15" s="17"/>
      <c r="D15" s="17"/>
    </row>
    <row r="16" spans="1:4">
      <c r="A16" s="6" t="s">
        <v>99</v>
      </c>
      <c r="B16" s="19">
        <f>B5*(1+B6)^11</f>
        <v>3423.7400473320031</v>
      </c>
      <c r="C16" s="19">
        <f>C5*(1+C6)^11</f>
        <v>6699.4436103322932</v>
      </c>
      <c r="D16" s="19">
        <f>D5*(1+D6)^11</f>
        <v>1539.3054223046825</v>
      </c>
    </row>
    <row r="17" spans="1:4">
      <c r="A17" s="6" t="s">
        <v>100</v>
      </c>
      <c r="B17" s="19">
        <f>B8*(1+B9)^11</f>
        <v>1865.3111976436885</v>
      </c>
      <c r="C17" s="19">
        <f>C8*(1+C9)^11</f>
        <v>3339.4079936116964</v>
      </c>
      <c r="D17" s="19">
        <f>D8*(1+D9)^11</f>
        <v>923.67243378904698</v>
      </c>
    </row>
    <row r="18" spans="1:4">
      <c r="A18" s="6" t="s">
        <v>101</v>
      </c>
      <c r="B18" s="19">
        <f>B11*(1+B12)^11</f>
        <v>684.13574324652552</v>
      </c>
      <c r="C18" s="19">
        <f>C11*(1+C12)^11</f>
        <v>1072.5539386451208</v>
      </c>
      <c r="D18" s="19">
        <f>D11*(1+D12)^11</f>
        <v>348.14480635050256</v>
      </c>
    </row>
    <row r="19" spans="1:4">
      <c r="A19" s="20" t="s">
        <v>102</v>
      </c>
      <c r="B19" s="10">
        <f>SUM(B16:B18)</f>
        <v>5973.1869882222172</v>
      </c>
      <c r="C19" s="10">
        <f>SUM(C16:C18)</f>
        <v>11111.405542589109</v>
      </c>
      <c r="D19" s="10">
        <f>SUM(D16:D18)</f>
        <v>2811.122662444232</v>
      </c>
    </row>
    <row r="20" spans="1:4">
      <c r="A20" s="20" t="s">
        <v>103</v>
      </c>
      <c r="B20" s="10">
        <f>B5*B7*IF(B6=0,12,((1+B6)^12-1)/B6)+B8*B10*IF(B9=0,12,((1+B9)^12-1)/B9)+B11*B13*IF(B12=0,12,((1+B12)^12-1)/B12)</f>
        <v>319553720.85848498</v>
      </c>
      <c r="C20" s="10">
        <f>C5*C7*IF(C6=0,12,((1+C6)^12-1)/C6)+C8*C10*IF(C9=0,12,((1+C9)^12-1)/C9)+C11*C13*IF(C12=0,12,((1+C12)^12-1)/C12)</f>
        <v>483260580.46170926</v>
      </c>
      <c r="D20" s="10">
        <f>D5*D7*IF(D6=0,12,((1+D6)^12-1)/D6)+D8*D10*IF(D9=0,12,((1+D9)^12-1)/D9)+D11*D13*IF(D12=0,12,((1+D12)^12-1)/D12)</f>
        <v>157869821.93594199</v>
      </c>
    </row>
    <row r="21" spans="1:4">
      <c r="A21" s="21" t="s">
        <v>104</v>
      </c>
      <c r="B21" s="22">
        <f>Assumptions!$B$16*(B5*IF(B6=0,12,((1+B6)^12-1)/B6)+B8*IF(B9=0,12,((1+B9)^12-1)/B9)+B11*IF(B12=0,12,((1+B12)^12-1)/B12))+Assumptions!$B$17*(B5*(1+B6)^11+B8*(1+B9)^11+B11*(1+B12)^11)+Assumptions!$B$11*12</f>
        <v>71596609.202861503</v>
      </c>
      <c r="C21" s="22">
        <f>Assumptions!$B$16*(C5*IF(C6=0,12,((1+C6)^12-1)/C6)+C8*IF(C9=0,12,((1+C9)^12-1)/C9)+C11*IF(C12=0,12,((1+C12)^12-1)/C12))+Assumptions!$B$17*(C5*(1+C6)^11+C8*(1+C9)^11+C11*(1+C12)^11)+Assumptions!$B$11*12</f>
        <v>115796782.99033764</v>
      </c>
      <c r="D21" s="22">
        <f>Assumptions!$B$16*(D5*IF(D6=0,12,((1+D6)^12-1)/D6)+D8*IF(D9=0,12,((1+D9)^12-1)/D9)+D11*IF(D12=0,12,((1+D12)^12-1)/D12))+Assumptions!$B$17*(D5*(1+D6)^11+D8*(1+D9)^11+D11*(1+D12)^11)+Assumptions!$B$11*12</f>
        <v>39792511.181374282</v>
      </c>
    </row>
    <row r="22" spans="1:4">
      <c r="A22" s="27" t="s">
        <v>105</v>
      </c>
      <c r="B22" s="28">
        <f>B20-B21</f>
        <v>247957111.6556235</v>
      </c>
      <c r="C22" s="28">
        <f>C20-C21</f>
        <v>367463797.47137165</v>
      </c>
      <c r="D22" s="28">
        <f>D20-D21</f>
        <v>118077310.75456771</v>
      </c>
    </row>
    <row r="23" spans="1:4">
      <c r="A23" s="6" t="s">
        <v>68</v>
      </c>
      <c r="B23" s="24">
        <f>IF(B20=0,0,B22/B20)</f>
        <v>0.77594812850084705</v>
      </c>
      <c r="C23" s="24">
        <f>IF(C20=0,0,C22/C20)</f>
        <v>0.76038438127996111</v>
      </c>
      <c r="D23" s="24">
        <f>IF(D20=0,0,D22/D20)</f>
        <v>0.74794098901612316</v>
      </c>
    </row>
    <row r="24" spans="1:4">
      <c r="A24" s="30" t="s">
        <v>106</v>
      </c>
      <c r="B24" s="31">
        <f>B22-Assumptions!$B$38</f>
        <v>245457111.6556235</v>
      </c>
      <c r="C24" s="31">
        <f>C22-Assumptions!$B$38</f>
        <v>364963797.47137165</v>
      </c>
      <c r="D24" s="31">
        <f>D22-Assumptions!$B$38</f>
        <v>115577310.75456771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15"/>
  <sheetViews>
    <sheetView zoomScaleNormal="100" workbookViewId="0">
      <selection activeCell="A6" sqref="A6"/>
    </sheetView>
  </sheetViews>
  <sheetFormatPr defaultColWidth="8.4609375" defaultRowHeight="15.5"/>
  <cols>
    <col min="1" max="1" width="30" style="1" customWidth="1"/>
    <col min="2" max="13" width="16" style="1" customWidth="1"/>
  </cols>
  <sheetData>
    <row r="1" spans="1:11" ht="18">
      <c r="A1" s="2" t="s">
        <v>107</v>
      </c>
    </row>
    <row r="2" spans="1:11">
      <c r="A2" s="3" t="s">
        <v>108</v>
      </c>
    </row>
    <row r="4" spans="1:11" ht="31">
      <c r="A4" s="16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6" t="s">
        <v>114</v>
      </c>
      <c r="G4" s="16" t="s">
        <v>115</v>
      </c>
      <c r="H4" s="16" t="s">
        <v>116</v>
      </c>
      <c r="I4" s="16" t="s">
        <v>117</v>
      </c>
      <c r="J4" s="16" t="s">
        <v>118</v>
      </c>
      <c r="K4" s="16" t="s">
        <v>119</v>
      </c>
    </row>
    <row r="5" spans="1:11">
      <c r="A5" s="15">
        <v>-0.2</v>
      </c>
      <c r="B5" s="19">
        <f>Assumptions!B20*(1+A5)</f>
        <v>3199.2000000000003</v>
      </c>
      <c r="C5" s="19">
        <f>Assumptions!B25*(1+(A5/0.1)*Assumptions!B30)</f>
        <v>1440</v>
      </c>
      <c r="D5" s="19">
        <f>Assumptions!B21*(1+A5)</f>
        <v>6399.2000000000007</v>
      </c>
      <c r="E5" s="19">
        <f>Assumptions!C25*(1+(A5/0.1)*Assumptions!C30)</f>
        <v>880.00000000000011</v>
      </c>
      <c r="F5" s="19">
        <f>Assumptions!B22*(1+A5)</f>
        <v>11999.2</v>
      </c>
      <c r="G5" s="19">
        <f>Assumptions!D25*(1+(A5/0.1)*Assumptions!D30)</f>
        <v>420</v>
      </c>
      <c r="H5" s="10">
        <f>C5*B5*IF(Assumptions!$B$26=0,12,((1+Assumptions!$B$26)^12-1)/Assumptions!$B$26)+E5*D5*IF(Assumptions!$C$26=0,12,((1+Assumptions!$C$26)^12-1)/Assumptions!$C$26)+G5*F5*IF(Assumptions!$D$26=0,12,((1+Assumptions!$D$26)^12-1)/Assumptions!$D$26)</f>
        <v>285596930.73995191</v>
      </c>
      <c r="I5" s="22">
        <f>Assumptions!$B$16*(C5*IF(Assumptions!$B$26=0,12,((1+Assumptions!$B$26)^12-1)/Assumptions!$B$26)+E5*IF(Assumptions!$C$26=0,12,((1+Assumptions!$C$26)^12-1)/Assumptions!$C$26)+G5*IF(Assumptions!$D$26=0,12,((1+Assumptions!$D$26)^12-1)/Assumptions!$D$26))+Assumptions!$B$17*(C5*(1+Assumptions!$B$26)^11+E5*(1+Assumptions!$C$26)^11+G5*(1+Assumptions!$D$26)^11)+Assumptions!$B$11*12</f>
        <v>82154901.451744646</v>
      </c>
      <c r="J5" s="28">
        <f t="shared" ref="J5:J15" si="0">H5-I5</f>
        <v>203442029.28820726</v>
      </c>
      <c r="K5" s="24">
        <f t="shared" ref="K5:K15" si="1">IF(H5=0,0,J5/H5)</f>
        <v>0.71233969063011338</v>
      </c>
    </row>
    <row r="6" spans="1:11">
      <c r="A6" s="15">
        <v>-0.15</v>
      </c>
      <c r="B6" s="19">
        <f>Assumptions!B20*(1+A6)</f>
        <v>3399.15</v>
      </c>
      <c r="C6" s="19">
        <f>Assumptions!B25*(1+(A6/0.1)*Assumptions!B30)</f>
        <v>1380</v>
      </c>
      <c r="D6" s="19">
        <f>Assumptions!B21*(1+A6)</f>
        <v>6799.15</v>
      </c>
      <c r="E6" s="19">
        <f>Assumptions!C25*(1+(A6/0.1)*Assumptions!C30)</f>
        <v>860</v>
      </c>
      <c r="F6" s="19">
        <f>Assumptions!B22*(1+A6)</f>
        <v>12749.15</v>
      </c>
      <c r="G6" s="19">
        <f>Assumptions!D25*(1+(A6/0.1)*Assumptions!D30)</f>
        <v>415.00000000000006</v>
      </c>
      <c r="H6" s="10">
        <f>C6*B6*IF(Assumptions!$B$26=0,12,((1+Assumptions!$B$26)^12-1)/Assumptions!$B$26)+E6*D6*IF(Assumptions!$C$26=0,12,((1+Assumptions!$C$26)^12-1)/Assumptions!$C$26)+G6*F6*IF(Assumptions!$D$26=0,12,((1+Assumptions!$D$26)^12-1)/Assumptions!$D$26)</f>
        <v>295490219.8658272</v>
      </c>
      <c r="I6" s="22">
        <f>Assumptions!$B$16*(C6*IF(Assumptions!$B$26=0,12,((1+Assumptions!$B$26)^12-1)/Assumptions!$B$26)+E6*IF(Assumptions!$C$26=0,12,((1+Assumptions!$C$26)^12-1)/Assumptions!$C$26)+G6*IF(Assumptions!$D$26=0,12,((1+Assumptions!$D$26)^12-1)/Assumptions!$D$26))+Assumptions!$B$17*(C6*(1+Assumptions!$B$26)^11+E6*(1+Assumptions!$C$26)^11+G6*(1+Assumptions!$D$26)^11)+Assumptions!$B$11*12</f>
        <v>79515328.389523864</v>
      </c>
      <c r="J6" s="28">
        <f t="shared" si="0"/>
        <v>215974891.47630334</v>
      </c>
      <c r="K6" s="24">
        <f t="shared" si="1"/>
        <v>0.73090368802856054</v>
      </c>
    </row>
    <row r="7" spans="1:11">
      <c r="A7" s="15">
        <v>-0.1</v>
      </c>
      <c r="B7" s="19">
        <f>Assumptions!B20*(1+A7)</f>
        <v>3599.1</v>
      </c>
      <c r="C7" s="19">
        <f>Assumptions!B25*(1+(A7/0.1)*Assumptions!B30)</f>
        <v>1320</v>
      </c>
      <c r="D7" s="19">
        <f>Assumptions!B21*(1+A7)</f>
        <v>7199.1</v>
      </c>
      <c r="E7" s="19">
        <f>Assumptions!C25*(1+(A7/0.1)*Assumptions!C30)</f>
        <v>840</v>
      </c>
      <c r="F7" s="19">
        <f>Assumptions!B22*(1+A7)</f>
        <v>13499.1</v>
      </c>
      <c r="G7" s="19">
        <f>Assumptions!D25*(1+(A7/0.1)*Assumptions!D30)</f>
        <v>409.99999999999994</v>
      </c>
      <c r="H7" s="10">
        <f>C7*B7*IF(Assumptions!$B$26=0,12,((1+Assumptions!$B$26)^12-1)/Assumptions!$B$26)+E7*D7*IF(Assumptions!$C$26=0,12,((1+Assumptions!$C$26)^12-1)/Assumptions!$C$26)+G7*F7*IF(Assumptions!$D$26=0,12,((1+Assumptions!$D$26)^12-1)/Assumptions!$D$26)</f>
        <v>304447447.92754114</v>
      </c>
      <c r="I7" s="22">
        <f>Assumptions!$B$16*(C7*IF(Assumptions!$B$26=0,12,((1+Assumptions!$B$26)^12-1)/Assumptions!$B$26)+E7*IF(Assumptions!$C$26=0,12,((1+Assumptions!$C$26)^12-1)/Assumptions!$C$26)+G7*IF(Assumptions!$D$26=0,12,((1+Assumptions!$D$26)^12-1)/Assumptions!$D$26))+Assumptions!$B$17*(C7*(1+Assumptions!$B$26)^11+E7*(1+Assumptions!$C$26)^11+G7*(1+Assumptions!$D$26)^11)+Assumptions!$B$11*12</f>
        <v>76875755.327303082</v>
      </c>
      <c r="J7" s="28">
        <f t="shared" si="0"/>
        <v>227571692.60023805</v>
      </c>
      <c r="K7" s="24">
        <f t="shared" si="1"/>
        <v>0.74749088602772717</v>
      </c>
    </row>
    <row r="8" spans="1:11">
      <c r="A8" s="15">
        <v>-0.05</v>
      </c>
      <c r="B8" s="19">
        <f>Assumptions!B20*(1+A8)</f>
        <v>3799.0499999999997</v>
      </c>
      <c r="C8" s="19">
        <f>Assumptions!B25*(1+(A8/0.1)*Assumptions!B30)</f>
        <v>1260</v>
      </c>
      <c r="D8" s="19">
        <f>Assumptions!B21*(1+A8)</f>
        <v>7599.0499999999993</v>
      </c>
      <c r="E8" s="19">
        <f>Assumptions!C25*(1+(A8/0.1)*Assumptions!C30)</f>
        <v>819.99999999999989</v>
      </c>
      <c r="F8" s="19">
        <f>Assumptions!B22*(1+A8)</f>
        <v>14249.05</v>
      </c>
      <c r="G8" s="19">
        <f>Assumptions!D25*(1+(A8/0.1)*Assumptions!D30)</f>
        <v>405</v>
      </c>
      <c r="H8" s="10">
        <f>C8*B8*IF(Assumptions!$B$26=0,12,((1+Assumptions!$B$26)^12-1)/Assumptions!$B$26)+E8*D8*IF(Assumptions!$C$26=0,12,((1+Assumptions!$C$26)^12-1)/Assumptions!$C$26)+G8*F8*IF(Assumptions!$D$26=0,12,((1+Assumptions!$D$26)^12-1)/Assumptions!$D$26)</f>
        <v>312468614.92509377</v>
      </c>
      <c r="I8" s="22">
        <f>Assumptions!$B$16*(C8*IF(Assumptions!$B$26=0,12,((1+Assumptions!$B$26)^12-1)/Assumptions!$B$26)+E8*IF(Assumptions!$C$26=0,12,((1+Assumptions!$C$26)^12-1)/Assumptions!$C$26)+G8*IF(Assumptions!$D$26=0,12,((1+Assumptions!$D$26)^12-1)/Assumptions!$D$26))+Assumptions!$B$17*(C8*(1+Assumptions!$B$26)^11+E8*(1+Assumptions!$C$26)^11+G8*(1+Assumptions!$D$26)^11)+Assumptions!$B$11*12</f>
        <v>74236182.265082285</v>
      </c>
      <c r="J8" s="28">
        <f t="shared" si="0"/>
        <v>238232432.66001147</v>
      </c>
      <c r="K8" s="24">
        <f t="shared" si="1"/>
        <v>0.76242035609599224</v>
      </c>
    </row>
    <row r="9" spans="1:11">
      <c r="A9" s="14">
        <v>0</v>
      </c>
      <c r="B9" s="19">
        <f>Assumptions!B20*(1+A9)</f>
        <v>3999</v>
      </c>
      <c r="C9" s="19">
        <f>Assumptions!B25*(1+(A9/0.1)*Assumptions!B30)</f>
        <v>1200</v>
      </c>
      <c r="D9" s="19">
        <f>Assumptions!B21*(1+A9)</f>
        <v>7999</v>
      </c>
      <c r="E9" s="19">
        <f>Assumptions!C25*(1+(A9/0.1)*Assumptions!C30)</f>
        <v>800</v>
      </c>
      <c r="F9" s="19">
        <f>Assumptions!B22*(1+A9)</f>
        <v>14999</v>
      </c>
      <c r="G9" s="19">
        <f>Assumptions!D25*(1+(A9/0.1)*Assumptions!D30)</f>
        <v>400</v>
      </c>
      <c r="H9" s="10">
        <f>C9*B9*IF(Assumptions!$B$26=0,12,((1+Assumptions!$B$26)^12-1)/Assumptions!$B$26)+E9*D9*IF(Assumptions!$C$26=0,12,((1+Assumptions!$C$26)^12-1)/Assumptions!$C$26)+G9*F9*IF(Assumptions!$D$26=0,12,((1+Assumptions!$D$26)^12-1)/Assumptions!$D$26)</f>
        <v>319553720.85848498</v>
      </c>
      <c r="I9" s="22">
        <f>Assumptions!$B$16*(C9*IF(Assumptions!$B$26=0,12,((1+Assumptions!$B$26)^12-1)/Assumptions!$B$26)+E9*IF(Assumptions!$C$26=0,12,((1+Assumptions!$C$26)^12-1)/Assumptions!$C$26)+G9*IF(Assumptions!$D$26=0,12,((1+Assumptions!$D$26)^12-1)/Assumptions!$D$26))+Assumptions!$B$17*(C9*(1+Assumptions!$B$26)^11+E9*(1+Assumptions!$C$26)^11+G9*(1+Assumptions!$D$26)^11)+Assumptions!$B$11*12</f>
        <v>71596609.202861503</v>
      </c>
      <c r="J9" s="28">
        <f t="shared" si="0"/>
        <v>247957111.6556235</v>
      </c>
      <c r="K9" s="24">
        <f t="shared" si="1"/>
        <v>0.77594812850084705</v>
      </c>
    </row>
    <row r="10" spans="1:11">
      <c r="A10" s="15">
        <v>0.05</v>
      </c>
      <c r="B10" s="19">
        <f>Assumptions!B20*(1+A10)</f>
        <v>4198.95</v>
      </c>
      <c r="C10" s="19">
        <f>Assumptions!B25*(1+(A10/0.1)*Assumptions!B30)</f>
        <v>1140</v>
      </c>
      <c r="D10" s="19">
        <f>Assumptions!B21*(1+A10)</f>
        <v>8398.9500000000007</v>
      </c>
      <c r="E10" s="19">
        <f>Assumptions!C25*(1+(A10/0.1)*Assumptions!C30)</f>
        <v>780</v>
      </c>
      <c r="F10" s="19">
        <f>Assumptions!B22*(1+A10)</f>
        <v>15748.95</v>
      </c>
      <c r="G10" s="19">
        <f>Assumptions!D25*(1+(A10/0.1)*Assumptions!D30)</f>
        <v>395</v>
      </c>
      <c r="H10" s="10">
        <f>C10*B10*IF(Assumptions!$B$26=0,12,((1+Assumptions!$B$26)^12-1)/Assumptions!$B$26)+E10*D10*IF(Assumptions!$C$26=0,12,((1+Assumptions!$C$26)^12-1)/Assumptions!$C$26)+G10*F10*IF(Assumptions!$D$26=0,12,((1+Assumptions!$D$26)^12-1)/Assumptions!$D$26)</f>
        <v>325702765.72771484</v>
      </c>
      <c r="I10" s="22">
        <f>Assumptions!$B$16*(C10*IF(Assumptions!$B$26=0,12,((1+Assumptions!$B$26)^12-1)/Assumptions!$B$26)+E10*IF(Assumptions!$C$26=0,12,((1+Assumptions!$C$26)^12-1)/Assumptions!$C$26)+G10*IF(Assumptions!$D$26=0,12,((1+Assumptions!$D$26)^12-1)/Assumptions!$D$26))+Assumptions!$B$17*(C10*(1+Assumptions!$B$26)^11+E10*(1+Assumptions!$C$26)^11+G10*(1+Assumptions!$D$26)^11)+Assumptions!$B$11*12</f>
        <v>68957036.140640721</v>
      </c>
      <c r="J10" s="28">
        <f t="shared" si="0"/>
        <v>256745729.5870741</v>
      </c>
      <c r="K10" s="24">
        <f t="shared" si="1"/>
        <v>0.7882823132110327</v>
      </c>
    </row>
    <row r="11" spans="1:11">
      <c r="A11" s="15">
        <v>0.1</v>
      </c>
      <c r="B11" s="19">
        <f>Assumptions!B20*(1+A11)</f>
        <v>4398.9000000000005</v>
      </c>
      <c r="C11" s="19">
        <f>Assumptions!B25*(1+(A11/0.1)*Assumptions!B30)</f>
        <v>1080</v>
      </c>
      <c r="D11" s="19">
        <f>Assumptions!B21*(1+A11)</f>
        <v>8798.9000000000015</v>
      </c>
      <c r="E11" s="19">
        <f>Assumptions!C25*(1+(A11/0.1)*Assumptions!C30)</f>
        <v>760</v>
      </c>
      <c r="F11" s="19">
        <f>Assumptions!B22*(1+A11)</f>
        <v>16498.900000000001</v>
      </c>
      <c r="G11" s="19">
        <f>Assumptions!D25*(1+(A11/0.1)*Assumptions!D30)</f>
        <v>390</v>
      </c>
      <c r="H11" s="10">
        <f>C11*B11*IF(Assumptions!$B$26=0,12,((1+Assumptions!$B$26)^12-1)/Assumptions!$B$26)+E11*D11*IF(Assumptions!$C$26=0,12,((1+Assumptions!$C$26)^12-1)/Assumptions!$C$26)+G11*F11*IF(Assumptions!$D$26=0,12,((1+Assumptions!$D$26)^12-1)/Assumptions!$D$26)</f>
        <v>330915749.53278339</v>
      </c>
      <c r="I11" s="22">
        <f>Assumptions!$B$16*(C11*IF(Assumptions!$B$26=0,12,((1+Assumptions!$B$26)^12-1)/Assumptions!$B$26)+E11*IF(Assumptions!$C$26=0,12,((1+Assumptions!$C$26)^12-1)/Assumptions!$C$26)+G11*IF(Assumptions!$D$26=0,12,((1+Assumptions!$D$26)^12-1)/Assumptions!$D$26))+Assumptions!$B$17*(C11*(1+Assumptions!$B$26)^11+E11*(1+Assumptions!$C$26)^11+G11*(1+Assumptions!$D$26)^11)+Assumptions!$B$11*12</f>
        <v>66317463.078419946</v>
      </c>
      <c r="J11" s="28">
        <f t="shared" si="0"/>
        <v>264598286.45436344</v>
      </c>
      <c r="K11" s="24">
        <f t="shared" si="1"/>
        <v>0.79959411671383751</v>
      </c>
    </row>
    <row r="12" spans="1:11">
      <c r="A12" s="15">
        <v>0.15</v>
      </c>
      <c r="B12" s="19">
        <f>Assumptions!B20*(1+A12)</f>
        <v>4598.8499999999995</v>
      </c>
      <c r="C12" s="19">
        <f>Assumptions!B25*(1+(A12/0.1)*Assumptions!B30)</f>
        <v>1020</v>
      </c>
      <c r="D12" s="19">
        <f>Assumptions!B21*(1+A12)</f>
        <v>9198.8499999999985</v>
      </c>
      <c r="E12" s="19">
        <f>Assumptions!C25*(1+(A12/0.1)*Assumptions!C30)</f>
        <v>740</v>
      </c>
      <c r="F12" s="19">
        <f>Assumptions!B22*(1+A12)</f>
        <v>17248.849999999999</v>
      </c>
      <c r="G12" s="19">
        <f>Assumptions!D25*(1+(A12/0.1)*Assumptions!D30)</f>
        <v>385</v>
      </c>
      <c r="H12" s="10">
        <f>C12*B12*IF(Assumptions!$B$26=0,12,((1+Assumptions!$B$26)^12-1)/Assumptions!$B$26)+E12*D12*IF(Assumptions!$C$26=0,12,((1+Assumptions!$C$26)^12-1)/Assumptions!$C$26)+G12*F12*IF(Assumptions!$D$26=0,12,((1+Assumptions!$D$26)^12-1)/Assumptions!$D$26)</f>
        <v>335192672.27369034</v>
      </c>
      <c r="I12" s="22">
        <f>Assumptions!$B$16*(C12*IF(Assumptions!$B$26=0,12,((1+Assumptions!$B$26)^12-1)/Assumptions!$B$26)+E12*IF(Assumptions!$C$26=0,12,((1+Assumptions!$C$26)^12-1)/Assumptions!$C$26)+G12*IF(Assumptions!$D$26=0,12,((1+Assumptions!$D$26)^12-1)/Assumptions!$D$26))+Assumptions!$B$17*(C12*(1+Assumptions!$B$26)^11+E12*(1+Assumptions!$C$26)^11+G12*(1+Assumptions!$D$26)^11)+Assumptions!$B$11*12</f>
        <v>63677890.016199157</v>
      </c>
      <c r="J12" s="28">
        <f t="shared" si="0"/>
        <v>271514782.25749117</v>
      </c>
      <c r="K12" s="24">
        <f t="shared" si="1"/>
        <v>0.8100260080739321</v>
      </c>
    </row>
    <row r="13" spans="1:11">
      <c r="A13" s="15">
        <v>0.2</v>
      </c>
      <c r="B13" s="19">
        <f>Assumptions!B20*(1+A13)</f>
        <v>4798.8</v>
      </c>
      <c r="C13" s="19">
        <f>Assumptions!B25*(1+(A13/0.1)*Assumptions!B30)</f>
        <v>960</v>
      </c>
      <c r="D13" s="19">
        <f>Assumptions!B21*(1+A13)</f>
        <v>9598.7999999999993</v>
      </c>
      <c r="E13" s="19">
        <f>Assumptions!C25*(1+(A13/0.1)*Assumptions!C30)</f>
        <v>720</v>
      </c>
      <c r="F13" s="19">
        <f>Assumptions!B22*(1+A13)</f>
        <v>17998.8</v>
      </c>
      <c r="G13" s="19">
        <f>Assumptions!D25*(1+(A13/0.1)*Assumptions!D30)</f>
        <v>380</v>
      </c>
      <c r="H13" s="10">
        <f>C13*B13*IF(Assumptions!$B$26=0,12,((1+Assumptions!$B$26)^12-1)/Assumptions!$B$26)+E13*D13*IF(Assumptions!$C$26=0,12,((1+Assumptions!$C$26)^12-1)/Assumptions!$C$26)+G13*F13*IF(Assumptions!$D$26=0,12,((1+Assumptions!$D$26)^12-1)/Assumptions!$D$26)</f>
        <v>338533533.95043612</v>
      </c>
      <c r="I13" s="22">
        <f>Assumptions!$B$16*(C13*IF(Assumptions!$B$26=0,12,((1+Assumptions!$B$26)^12-1)/Assumptions!$B$26)+E13*IF(Assumptions!$C$26=0,12,((1+Assumptions!$C$26)^12-1)/Assumptions!$C$26)+G13*IF(Assumptions!$D$26=0,12,((1+Assumptions!$D$26)^12-1)/Assumptions!$D$26))+Assumptions!$B$17*(C13*(1+Assumptions!$B$26)^11+E13*(1+Assumptions!$C$26)^11+G13*(1+Assumptions!$D$26)^11)+Assumptions!$B$11*12</f>
        <v>61038316.953978375</v>
      </c>
      <c r="J13" s="28">
        <f t="shared" si="0"/>
        <v>277495216.99645776</v>
      </c>
      <c r="K13" s="24">
        <f t="shared" si="1"/>
        <v>0.8196978708676026</v>
      </c>
    </row>
    <row r="14" spans="1:11">
      <c r="A14" s="15">
        <v>0.25</v>
      </c>
      <c r="B14" s="19">
        <f>Assumptions!B20*(1+A14)</f>
        <v>4998.75</v>
      </c>
      <c r="C14" s="19">
        <f>Assumptions!B25*(1+(A14/0.1)*Assumptions!B30)</f>
        <v>900</v>
      </c>
      <c r="D14" s="19">
        <f>Assumptions!B21*(1+A14)</f>
        <v>9998.75</v>
      </c>
      <c r="E14" s="19">
        <f>Assumptions!C25*(1+(A14/0.1)*Assumptions!C30)</f>
        <v>700</v>
      </c>
      <c r="F14" s="19">
        <f>Assumptions!B22*(1+A14)</f>
        <v>18748.75</v>
      </c>
      <c r="G14" s="19">
        <f>Assumptions!D25*(1+(A14/0.1)*Assumptions!D30)</f>
        <v>375</v>
      </c>
      <c r="H14" s="10">
        <f>C14*B14*IF(Assumptions!$B$26=0,12,((1+Assumptions!$B$26)^12-1)/Assumptions!$B$26)+E14*D14*IF(Assumptions!$C$26=0,12,((1+Assumptions!$C$26)^12-1)/Assumptions!$C$26)+G14*F14*IF(Assumptions!$D$26=0,12,((1+Assumptions!$D$26)^12-1)/Assumptions!$D$26)</f>
        <v>340938334.56302047</v>
      </c>
      <c r="I14" s="22">
        <f>Assumptions!$B$16*(C14*IF(Assumptions!$B$26=0,12,((1+Assumptions!$B$26)^12-1)/Assumptions!$B$26)+E14*IF(Assumptions!$C$26=0,12,((1+Assumptions!$C$26)^12-1)/Assumptions!$C$26)+G14*IF(Assumptions!$D$26=0,12,((1+Assumptions!$D$26)^12-1)/Assumptions!$D$26))+Assumptions!$B$17*(C14*(1+Assumptions!$B$26)^11+E14*(1+Assumptions!$C$26)^11+G14*(1+Assumptions!$D$26)^11)+Assumptions!$B$11*12</f>
        <v>58398743.891757578</v>
      </c>
      <c r="J14" s="28">
        <f t="shared" si="0"/>
        <v>282539590.67126286</v>
      </c>
      <c r="K14" s="24">
        <f t="shared" si="1"/>
        <v>0.82871171126412912</v>
      </c>
    </row>
    <row r="15" spans="1:11">
      <c r="A15" s="15">
        <v>0.3</v>
      </c>
      <c r="B15" s="19">
        <f>Assumptions!B20*(1+A15)</f>
        <v>5198.7</v>
      </c>
      <c r="C15" s="19">
        <f>Assumptions!B25*(1+(A15/0.1)*Assumptions!B30)</f>
        <v>840</v>
      </c>
      <c r="D15" s="19">
        <f>Assumptions!B21*(1+A15)</f>
        <v>10398.700000000001</v>
      </c>
      <c r="E15" s="19">
        <f>Assumptions!C25*(1+(A15/0.1)*Assumptions!C30)</f>
        <v>680</v>
      </c>
      <c r="F15" s="19">
        <f>Assumptions!B22*(1+A15)</f>
        <v>19498.7</v>
      </c>
      <c r="G15" s="19">
        <f>Assumptions!D25*(1+(A15/0.1)*Assumptions!D30)</f>
        <v>370</v>
      </c>
      <c r="H15" s="10">
        <f>C15*B15*IF(Assumptions!$B$26=0,12,((1+Assumptions!$B$26)^12-1)/Assumptions!$B$26)+E15*D15*IF(Assumptions!$C$26=0,12,((1+Assumptions!$C$26)^12-1)/Assumptions!$C$26)+G15*F15*IF(Assumptions!$D$26=0,12,((1+Assumptions!$D$26)^12-1)/Assumptions!$D$26)</f>
        <v>342407074.11144352</v>
      </c>
      <c r="I15" s="22">
        <f>Assumptions!$B$16*(C15*IF(Assumptions!$B$26=0,12,((1+Assumptions!$B$26)^12-1)/Assumptions!$B$26)+E15*IF(Assumptions!$C$26=0,12,((1+Assumptions!$C$26)^12-1)/Assumptions!$C$26)+G15*IF(Assumptions!$D$26=0,12,((1+Assumptions!$D$26)^12-1)/Assumptions!$D$26))+Assumptions!$B$17*(C15*(1+Assumptions!$B$26)^11+E15*(1+Assumptions!$C$26)^11+G15*(1+Assumptions!$D$26)^11)+Assumptions!$B$11*12</f>
        <v>55759170.829536803</v>
      </c>
      <c r="J15" s="28">
        <f t="shared" si="0"/>
        <v>286647903.28190672</v>
      </c>
      <c r="K15" s="24">
        <f t="shared" si="1"/>
        <v>0.83715531878471405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1"/>
  <sheetViews>
    <sheetView topLeftCell="A4" zoomScaleNormal="100" workbookViewId="0"/>
  </sheetViews>
  <sheetFormatPr defaultColWidth="8.4609375" defaultRowHeight="15.5"/>
  <cols>
    <col min="1" max="1" width="35" style="1" customWidth="1"/>
    <col min="2" max="13" width="16" style="1" customWidth="1"/>
  </cols>
  <sheetData>
    <row r="1" spans="1:13" ht="18">
      <c r="A1" s="2" t="s">
        <v>120</v>
      </c>
    </row>
    <row r="2" spans="1:13">
      <c r="A2" s="3" t="s">
        <v>121</v>
      </c>
    </row>
    <row r="4" spans="1:13">
      <c r="A4" s="16" t="s">
        <v>122</v>
      </c>
      <c r="B4" s="16" t="s">
        <v>47</v>
      </c>
      <c r="C4" s="16" t="s">
        <v>48</v>
      </c>
      <c r="D4" s="16" t="s">
        <v>49</v>
      </c>
      <c r="E4" s="16" t="s">
        <v>50</v>
      </c>
      <c r="F4" s="16" t="s">
        <v>51</v>
      </c>
      <c r="G4" s="16" t="s">
        <v>52</v>
      </c>
      <c r="H4" s="16" t="s">
        <v>53</v>
      </c>
      <c r="I4" s="16" t="s">
        <v>54</v>
      </c>
      <c r="J4" s="16" t="s">
        <v>55</v>
      </c>
      <c r="K4" s="16" t="s">
        <v>56</v>
      </c>
      <c r="L4" s="16" t="s">
        <v>57</v>
      </c>
      <c r="M4" s="16" t="s">
        <v>58</v>
      </c>
    </row>
    <row r="5" spans="1:13">
      <c r="A5" s="6" t="s">
        <v>123</v>
      </c>
      <c r="B5" s="18">
        <f>'Monthly Model'!B46</f>
        <v>8459266.666666666</v>
      </c>
      <c r="C5" s="18">
        <f>'Monthly Model'!C46</f>
        <v>14831562.666666666</v>
      </c>
      <c r="D5" s="18">
        <f>'Monthly Model'!D46</f>
        <v>15916815.546666667</v>
      </c>
      <c r="E5" s="18">
        <f>'Monthly Model'!E46</f>
        <v>17087075.397066668</v>
      </c>
      <c r="F5" s="18">
        <f>'Monthly Model'!F46</f>
        <v>18349392.480498668</v>
      </c>
      <c r="G5" s="18">
        <f>'Monthly Model'!G46</f>
        <v>19711427.602655236</v>
      </c>
      <c r="H5" s="18">
        <f>'Monthly Model'!H46</f>
        <v>21181506.685516816</v>
      </c>
      <c r="I5" s="18">
        <f>'Monthly Model'!I46</f>
        <v>22768680.333294451</v>
      </c>
      <c r="J5" s="18">
        <f>'Monthly Model'!J46</f>
        <v>24482788.855884586</v>
      </c>
      <c r="K5" s="18">
        <f>'Monthly Model'!K46</f>
        <v>26334533.2584894</v>
      </c>
      <c r="L5" s="18">
        <f>'Monthly Model'!L46</f>
        <v>28335552.754094906</v>
      </c>
      <c r="M5" s="18">
        <f>'Monthly Model'!M46</f>
        <v>30498509.408122651</v>
      </c>
    </row>
    <row r="6" spans="1:13">
      <c r="A6" s="20" t="s">
        <v>80</v>
      </c>
      <c r="B6" s="10">
        <f>B5</f>
        <v>8459266.666666666</v>
      </c>
      <c r="C6" s="10">
        <f t="shared" ref="C6:M6" si="0">B6+C5</f>
        <v>23290829.333333332</v>
      </c>
      <c r="D6" s="10">
        <f t="shared" si="0"/>
        <v>39207644.879999995</v>
      </c>
      <c r="E6" s="10">
        <f t="shared" si="0"/>
        <v>56294720.277066663</v>
      </c>
      <c r="F6" s="10">
        <f t="shared" si="0"/>
        <v>74644112.757565334</v>
      </c>
      <c r="G6" s="10">
        <f t="shared" si="0"/>
        <v>94355540.360220566</v>
      </c>
      <c r="H6" s="10">
        <f t="shared" si="0"/>
        <v>115537047.04573739</v>
      </c>
      <c r="I6" s="10">
        <f t="shared" si="0"/>
        <v>138305727.37903184</v>
      </c>
      <c r="J6" s="10">
        <f t="shared" si="0"/>
        <v>162788516.23491642</v>
      </c>
      <c r="K6" s="10">
        <f t="shared" si="0"/>
        <v>189123049.49340582</v>
      </c>
      <c r="L6" s="10">
        <f t="shared" si="0"/>
        <v>217458602.24750072</v>
      </c>
      <c r="M6" s="10">
        <f t="shared" si="0"/>
        <v>247957111.65562338</v>
      </c>
    </row>
    <row r="7" spans="1:13">
      <c r="A7" s="21" t="s">
        <v>124</v>
      </c>
      <c r="B7" s="29">
        <f>Assumptions!B5+Assumptions!B6</f>
        <v>1800000</v>
      </c>
      <c r="C7" s="29">
        <f>Assumptions!B5+Assumptions!B6</f>
        <v>1800000</v>
      </c>
      <c r="D7" s="29">
        <f>Assumptions!B5+Assumptions!B6</f>
        <v>1800000</v>
      </c>
      <c r="E7" s="29">
        <f>Assumptions!B5+Assumptions!B6</f>
        <v>1800000</v>
      </c>
      <c r="F7" s="29">
        <f>Assumptions!B5+Assumptions!B6</f>
        <v>1800000</v>
      </c>
      <c r="G7" s="29">
        <f>Assumptions!B5+Assumptions!B6</f>
        <v>1800000</v>
      </c>
      <c r="H7" s="29">
        <f>Assumptions!B5+Assumptions!B6</f>
        <v>1800000</v>
      </c>
      <c r="I7" s="29">
        <f>Assumptions!B5+Assumptions!B6</f>
        <v>1800000</v>
      </c>
      <c r="J7" s="29">
        <f>Assumptions!B5+Assumptions!B6</f>
        <v>1800000</v>
      </c>
      <c r="K7" s="29">
        <f>Assumptions!B5+Assumptions!B6</f>
        <v>1800000</v>
      </c>
      <c r="L7" s="29">
        <f>Assumptions!B5+Assumptions!B6</f>
        <v>1800000</v>
      </c>
      <c r="M7" s="29">
        <f>Assumptions!B5+Assumptions!B6</f>
        <v>1800000</v>
      </c>
    </row>
    <row r="8" spans="1:13">
      <c r="A8" s="21" t="s">
        <v>81</v>
      </c>
      <c r="B8" s="29">
        <f>Assumptions!$B$38</f>
        <v>2500000</v>
      </c>
      <c r="C8" s="29">
        <f>Assumptions!$B$38</f>
        <v>2500000</v>
      </c>
      <c r="D8" s="29">
        <f>Assumptions!$B$38</f>
        <v>2500000</v>
      </c>
      <c r="E8" s="29">
        <f>Assumptions!$B$38</f>
        <v>2500000</v>
      </c>
      <c r="F8" s="29">
        <f>Assumptions!$B$38</f>
        <v>2500000</v>
      </c>
      <c r="G8" s="29">
        <f>Assumptions!$B$38</f>
        <v>2500000</v>
      </c>
      <c r="H8" s="29">
        <f>Assumptions!$B$38</f>
        <v>2500000</v>
      </c>
      <c r="I8" s="29">
        <f>Assumptions!$B$38</f>
        <v>2500000</v>
      </c>
      <c r="J8" s="29">
        <f>Assumptions!$B$38</f>
        <v>2500000</v>
      </c>
      <c r="K8" s="29">
        <f>Assumptions!$B$38</f>
        <v>2500000</v>
      </c>
      <c r="L8" s="29">
        <f>Assumptions!$B$38</f>
        <v>2500000</v>
      </c>
      <c r="M8" s="29">
        <f>Assumptions!$B$38</f>
        <v>2500000</v>
      </c>
    </row>
    <row r="9" spans="1:13">
      <c r="A9" s="35" t="s">
        <v>125</v>
      </c>
      <c r="B9" s="36">
        <f t="shared" ref="B9:M9" si="1">B7+B8</f>
        <v>4300000</v>
      </c>
      <c r="C9" s="36">
        <f t="shared" si="1"/>
        <v>4300000</v>
      </c>
      <c r="D9" s="36">
        <f t="shared" si="1"/>
        <v>4300000</v>
      </c>
      <c r="E9" s="36">
        <f t="shared" si="1"/>
        <v>4300000</v>
      </c>
      <c r="F9" s="36">
        <f t="shared" si="1"/>
        <v>4300000</v>
      </c>
      <c r="G9" s="36">
        <f t="shared" si="1"/>
        <v>4300000</v>
      </c>
      <c r="H9" s="36">
        <f t="shared" si="1"/>
        <v>4300000</v>
      </c>
      <c r="I9" s="36">
        <f t="shared" si="1"/>
        <v>4300000</v>
      </c>
      <c r="J9" s="36">
        <f t="shared" si="1"/>
        <v>4300000</v>
      </c>
      <c r="K9" s="36">
        <f t="shared" si="1"/>
        <v>4300000</v>
      </c>
      <c r="L9" s="36">
        <f t="shared" si="1"/>
        <v>4300000</v>
      </c>
      <c r="M9" s="36">
        <f t="shared" si="1"/>
        <v>4300000</v>
      </c>
    </row>
    <row r="10" spans="1:13">
      <c r="A10" s="30" t="s">
        <v>126</v>
      </c>
      <c r="B10" s="31">
        <f t="shared" ref="B10:M10" si="2">B6-B9</f>
        <v>4159266.666666666</v>
      </c>
      <c r="C10" s="31">
        <f t="shared" si="2"/>
        <v>18990829.333333332</v>
      </c>
      <c r="D10" s="31">
        <f t="shared" si="2"/>
        <v>34907644.879999995</v>
      </c>
      <c r="E10" s="31">
        <f t="shared" si="2"/>
        <v>51994720.277066663</v>
      </c>
      <c r="F10" s="31">
        <f t="shared" si="2"/>
        <v>70344112.757565334</v>
      </c>
      <c r="G10" s="31">
        <f t="shared" si="2"/>
        <v>90055540.360220566</v>
      </c>
      <c r="H10" s="31">
        <f t="shared" si="2"/>
        <v>111237047.04573739</v>
      </c>
      <c r="I10" s="31">
        <f t="shared" si="2"/>
        <v>134005727.37903184</v>
      </c>
      <c r="J10" s="31">
        <f t="shared" si="2"/>
        <v>158488516.23491642</v>
      </c>
      <c r="K10" s="31">
        <f t="shared" si="2"/>
        <v>184823049.49340582</v>
      </c>
      <c r="L10" s="31">
        <f t="shared" si="2"/>
        <v>213158602.24750072</v>
      </c>
      <c r="M10" s="31">
        <f t="shared" si="2"/>
        <v>243657111.65562338</v>
      </c>
    </row>
    <row r="11" spans="1:13">
      <c r="A11" s="27" t="s">
        <v>127</v>
      </c>
      <c r="B11" s="37" t="str">
        <f t="shared" ref="B11:M11" si="3">IF(B10&gt;=0,"YES","NO")</f>
        <v>YES</v>
      </c>
      <c r="C11" s="37" t="str">
        <f t="shared" si="3"/>
        <v>YES</v>
      </c>
      <c r="D11" s="37" t="str">
        <f t="shared" si="3"/>
        <v>YES</v>
      </c>
      <c r="E11" s="37" t="str">
        <f t="shared" si="3"/>
        <v>YES</v>
      </c>
      <c r="F11" s="37" t="str">
        <f t="shared" si="3"/>
        <v>YES</v>
      </c>
      <c r="G11" s="37" t="str">
        <f t="shared" si="3"/>
        <v>YES</v>
      </c>
      <c r="H11" s="37" t="str">
        <f t="shared" si="3"/>
        <v>YES</v>
      </c>
      <c r="I11" s="37" t="str">
        <f t="shared" si="3"/>
        <v>YES</v>
      </c>
      <c r="J11" s="37" t="str">
        <f t="shared" si="3"/>
        <v>YES</v>
      </c>
      <c r="K11" s="37" t="str">
        <f t="shared" si="3"/>
        <v>YES</v>
      </c>
      <c r="L11" s="37" t="str">
        <f t="shared" si="3"/>
        <v>YES</v>
      </c>
      <c r="M11" s="37" t="str">
        <f t="shared" si="3"/>
        <v>YES</v>
      </c>
    </row>
    <row r="13" spans="1:13">
      <c r="A13" s="4" t="s">
        <v>128</v>
      </c>
    </row>
    <row r="14" spans="1:13">
      <c r="A14" s="6" t="s">
        <v>129</v>
      </c>
      <c r="B14" s="18">
        <f>SUM('Monthly Model'!B41:M41)</f>
        <v>319553720.85848492</v>
      </c>
    </row>
    <row r="15" spans="1:13">
      <c r="A15" s="6" t="s">
        <v>130</v>
      </c>
      <c r="B15" s="18">
        <f>SUM('Monthly Model'!B45:M45)</f>
        <v>71596609.202861473</v>
      </c>
    </row>
    <row r="16" spans="1:13">
      <c r="A16" s="20" t="s">
        <v>131</v>
      </c>
      <c r="B16" s="10">
        <f>B14-B15</f>
        <v>247957111.65562344</v>
      </c>
    </row>
    <row r="17" spans="1:2">
      <c r="A17" s="6" t="s">
        <v>79</v>
      </c>
      <c r="B17" s="24">
        <f>IF(B14=0,0,B16/B14)</f>
        <v>0.77594812850084693</v>
      </c>
    </row>
    <row r="18" spans="1:2">
      <c r="A18" s="6" t="s">
        <v>132</v>
      </c>
      <c r="B18" s="24">
        <f>IF(B7=0,0,B16/B7)</f>
        <v>137.75395091979081</v>
      </c>
    </row>
    <row r="19" spans="1:2">
      <c r="A19" s="6" t="s">
        <v>133</v>
      </c>
      <c r="B19" s="24">
        <f>IF(B8=0,0,B16/B8)</f>
        <v>99.18284466224938</v>
      </c>
    </row>
    <row r="20" spans="1:2">
      <c r="A20" s="6" t="s">
        <v>134</v>
      </c>
      <c r="B20" s="18">
        <f>'Monthly Model'!M39</f>
        <v>5973.1869882222172</v>
      </c>
    </row>
    <row r="21" spans="1:2">
      <c r="A21" s="6" t="s">
        <v>135</v>
      </c>
      <c r="B21" s="18">
        <f>'Monthly Model'!M41</f>
        <v>38873512.732187189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"/>
  <sheetViews>
    <sheetView topLeftCell="A8" zoomScaleNormal="100" workbookViewId="0"/>
  </sheetViews>
  <sheetFormatPr defaultColWidth="8.4609375" defaultRowHeight="15.5"/>
  <sheetData>
    <row r="1" spans="1:1" ht="18">
      <c r="A1" s="2" t="s">
        <v>136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52"/>
  <sheetViews>
    <sheetView tabSelected="1" zoomScaleNormal="100" workbookViewId="0"/>
  </sheetViews>
  <sheetFormatPr defaultColWidth="8.4609375" defaultRowHeight="15.5"/>
  <cols>
    <col min="1" max="1" width="100" style="1" customWidth="1"/>
  </cols>
  <sheetData>
    <row r="1" spans="1:1" ht="18">
      <c r="A1" s="2" t="s">
        <v>137</v>
      </c>
    </row>
    <row r="2" spans="1:1">
      <c r="A2" s="3" t="s">
        <v>138</v>
      </c>
    </row>
    <row r="3" spans="1:1">
      <c r="A3" s="38"/>
    </row>
    <row r="4" spans="1:1">
      <c r="A4" s="39" t="s">
        <v>139</v>
      </c>
    </row>
    <row r="5" spans="1:1">
      <c r="A5" s="38" t="s">
        <v>140</v>
      </c>
    </row>
    <row r="6" spans="1:1">
      <c r="A6" s="38" t="s">
        <v>141</v>
      </c>
    </row>
    <row r="7" spans="1:1">
      <c r="A7" s="38" t="s">
        <v>142</v>
      </c>
    </row>
    <row r="8" spans="1:1">
      <c r="A8" s="38" t="s">
        <v>143</v>
      </c>
    </row>
    <row r="9" spans="1:1">
      <c r="A9" s="38"/>
    </row>
    <row r="10" spans="1:1">
      <c r="A10" s="39" t="s">
        <v>144</v>
      </c>
    </row>
    <row r="11" spans="1:1">
      <c r="A11" s="38" t="s">
        <v>145</v>
      </c>
    </row>
    <row r="12" spans="1:1">
      <c r="A12" s="38" t="s">
        <v>146</v>
      </c>
    </row>
    <row r="13" spans="1:1">
      <c r="A13" s="38" t="s">
        <v>147</v>
      </c>
    </row>
    <row r="14" spans="1:1">
      <c r="A14" s="38" t="s">
        <v>148</v>
      </c>
    </row>
    <row r="15" spans="1:1">
      <c r="A15" s="38" t="s">
        <v>149</v>
      </c>
    </row>
    <row r="16" spans="1:1">
      <c r="A16" s="38"/>
    </row>
    <row r="17" spans="1:1">
      <c r="A17" s="39" t="s">
        <v>150</v>
      </c>
    </row>
    <row r="18" spans="1:1">
      <c r="A18" s="38" t="s">
        <v>151</v>
      </c>
    </row>
    <row r="19" spans="1:1">
      <c r="A19" s="38" t="s">
        <v>152</v>
      </c>
    </row>
    <row r="20" spans="1:1">
      <c r="A20" s="38" t="s">
        <v>153</v>
      </c>
    </row>
    <row r="21" spans="1:1">
      <c r="A21" s="38" t="s">
        <v>154</v>
      </c>
    </row>
    <row r="22" spans="1:1">
      <c r="A22" s="40" t="s">
        <v>155</v>
      </c>
    </row>
    <row r="23" spans="1:1">
      <c r="A23" s="38"/>
    </row>
    <row r="24" spans="1:1">
      <c r="A24" s="39" t="s">
        <v>156</v>
      </c>
    </row>
    <row r="25" spans="1:1">
      <c r="A25" s="38" t="s">
        <v>157</v>
      </c>
    </row>
    <row r="26" spans="1:1">
      <c r="A26" s="38" t="s">
        <v>158</v>
      </c>
    </row>
    <row r="27" spans="1:1">
      <c r="A27" s="38" t="s">
        <v>159</v>
      </c>
    </row>
    <row r="28" spans="1:1">
      <c r="A28" s="38" t="s">
        <v>160</v>
      </c>
    </row>
    <row r="29" spans="1:1">
      <c r="A29" s="38"/>
    </row>
    <row r="30" spans="1:1">
      <c r="A30" s="39" t="s">
        <v>161</v>
      </c>
    </row>
    <row r="31" spans="1:1">
      <c r="A31" s="40" t="s">
        <v>162</v>
      </c>
    </row>
    <row r="32" spans="1:1">
      <c r="A32" s="38" t="s">
        <v>163</v>
      </c>
    </row>
    <row r="33" spans="1:1">
      <c r="A33" s="40" t="s">
        <v>164</v>
      </c>
    </row>
    <row r="34" spans="1:1">
      <c r="A34" s="38" t="s">
        <v>165</v>
      </c>
    </row>
    <row r="35" spans="1:1">
      <c r="A35" s="40" t="s">
        <v>166</v>
      </c>
    </row>
    <row r="36" spans="1:1">
      <c r="A36" s="38" t="s">
        <v>167</v>
      </c>
    </row>
    <row r="37" spans="1:1">
      <c r="A37" s="40" t="s">
        <v>168</v>
      </c>
    </row>
    <row r="38" spans="1:1">
      <c r="A38" s="38" t="s">
        <v>169</v>
      </c>
    </row>
    <row r="39" spans="1:1">
      <c r="A39" s="38"/>
    </row>
    <row r="40" spans="1:1">
      <c r="A40" s="39" t="s">
        <v>170</v>
      </c>
    </row>
    <row r="41" spans="1:1">
      <c r="A41" s="40" t="s">
        <v>171</v>
      </c>
    </row>
    <row r="42" spans="1:1">
      <c r="A42" s="40" t="s">
        <v>172</v>
      </c>
    </row>
    <row r="43" spans="1:1">
      <c r="A43" s="38" t="s">
        <v>173</v>
      </c>
    </row>
    <row r="44" spans="1:1">
      <c r="A44" s="40" t="s">
        <v>174</v>
      </c>
    </row>
    <row r="45" spans="1:1">
      <c r="A45" s="40" t="s">
        <v>175</v>
      </c>
    </row>
    <row r="46" spans="1:1">
      <c r="A46" s="38"/>
    </row>
    <row r="47" spans="1:1">
      <c r="A47" s="39" t="s">
        <v>176</v>
      </c>
    </row>
    <row r="48" spans="1:1">
      <c r="A48" s="40" t="s">
        <v>177</v>
      </c>
    </row>
    <row r="49" spans="1:1">
      <c r="A49" s="38" t="s">
        <v>178</v>
      </c>
    </row>
    <row r="50" spans="1:1">
      <c r="A50" s="38" t="s">
        <v>179</v>
      </c>
    </row>
    <row r="51" spans="1:1">
      <c r="A51" s="38" t="s">
        <v>180</v>
      </c>
    </row>
    <row r="52" spans="1:1">
      <c r="A52" s="38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Monthly Model</vt:lpstr>
      <vt:lpstr>Scenario Analysis</vt:lpstr>
      <vt:lpstr>Price Sensitivity</vt:lpstr>
      <vt:lpstr>Breakeven Analysis</vt:lpstr>
      <vt:lpstr>Charts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l226502Jayish Bin Sohail</dc:creator>
  <dc:description/>
  <cp:lastModifiedBy>Hamza Khalid</cp:lastModifiedBy>
  <cp:revision>1</cp:revision>
  <dcterms:created xsi:type="dcterms:W3CDTF">2026-04-01T10:58:33Z</dcterms:created>
  <dcterms:modified xsi:type="dcterms:W3CDTF">2026-04-12T20:24:31Z</dcterms:modified>
  <dc:language>en-US</dc:language>
</cp:coreProperties>
</file>